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59f6743d429455d3/Documents/"/>
    </mc:Choice>
  </mc:AlternateContent>
  <xr:revisionPtr revIDLastSave="12" documentId="8_{6C5CFB11-6DFD-4473-A3BA-82C349030811}" xr6:coauthVersionLast="47" xr6:coauthVersionMax="47" xr10:uidLastSave="{EFECF964-7268-488A-8887-E261F5F3D088}"/>
  <bookViews>
    <workbookView xWindow="-108" yWindow="-108" windowWidth="23256" windowHeight="12456" activeTab="1" xr2:uid="{AA1F8B27-5C68-4C2E-BE4A-5A5F64BCDBBA}"/>
  </bookViews>
  <sheets>
    <sheet name="pivot" sheetId="4" r:id="rId1"/>
    <sheet name="dashboard" sheetId="5" r:id="rId2"/>
    <sheet name="Healthcare_Data" sheetId="2" r:id="rId3"/>
  </sheets>
  <definedNames>
    <definedName name="_xlcn.WorksheetConnection_Book1Healthcare_Data1" hidden="1">Healthcare_Data[]</definedName>
    <definedName name="ExternalData_1" localSheetId="2" hidden="1">Healthcare_Data!$A$1:$H$201</definedName>
    <definedName name="Slicer_Admission_Type">#N/A</definedName>
    <definedName name="Slicer_Disease">#N/A</definedName>
    <definedName name="Slicer_Gender">#N/A</definedName>
    <definedName name="Slicer_Hospital">#N/A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ealthcare_Data" name="Healthcare_Data" connection="WorksheetConnection_Book1!Healthcare_Data"/>
        </x15:modelTables>
        <x15:extLst>
          <ext xmlns:x16="http://schemas.microsoft.com/office/spreadsheetml/2014/11/main" uri="{9835A34E-60A6-4A7C-AAB8-D5F71C897F49}">
            <x16:modelTimeGroupings>
              <x16:modelTimeGrouping tableName="Healthcare_Data"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5" l="1"/>
  <c r="F3" i="5"/>
  <c r="D3" i="5"/>
  <c r="B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924748-A799-409D-AFD8-17446D81E79B}" keepAlive="1" name="Query - Healthcare_Data" description="Connection to the 'Healthcare_Data' query in the workbook." type="5" refreshedVersion="8" background="1" saveData="1">
    <dbPr connection="Provider=Microsoft.Mashup.OleDb.1;Data Source=$Workbook$;Location=Healthcare_Data;Extended Properties=&quot;&quot;" command="SELECT * FROM [Healthcare_Data]"/>
  </connection>
  <connection id="2" xr16:uid="{B30783CF-A142-4F20-945E-EB935F8FC03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BE4B4E6-0724-4ED8-A3FD-0FCC302BD768}" name="WorksheetConnection_Book1!Healthcare_Data" type="102" refreshedVersion="8" minRefreshableVersion="5">
    <extLst>
      <ext xmlns:x15="http://schemas.microsoft.com/office/spreadsheetml/2010/11/main" uri="{DE250136-89BD-433C-8126-D09CA5730AF9}">
        <x15:connection id="Healthcare_Data" autoDelete="1">
          <x15:rangePr sourceName="_xlcn.WorksheetConnection_Book1Healthcare_Data1"/>
        </x15:connection>
      </ext>
    </extLst>
  </connection>
</connections>
</file>

<file path=xl/sharedStrings.xml><?xml version="1.0" encoding="utf-8"?>
<sst xmlns="http://schemas.openxmlformats.org/spreadsheetml/2006/main" count="1249" uniqueCount="238">
  <si>
    <t>Patient ID</t>
  </si>
  <si>
    <t>Date</t>
  </si>
  <si>
    <t>Hospital</t>
  </si>
  <si>
    <t>Disease</t>
  </si>
  <si>
    <t>Gender</t>
  </si>
  <si>
    <t>Age</t>
  </si>
  <si>
    <t>Admission Type</t>
  </si>
  <si>
    <t>Outcome</t>
  </si>
  <si>
    <t>P001</t>
  </si>
  <si>
    <t>Metro Hospital</t>
  </si>
  <si>
    <t>Flu</t>
  </si>
  <si>
    <t>Male</t>
  </si>
  <si>
    <t>Routine</t>
  </si>
  <si>
    <t>Recovered</t>
  </si>
  <si>
    <t>P002</t>
  </si>
  <si>
    <t>Apollo Clinic</t>
  </si>
  <si>
    <t>Heart Disease</t>
  </si>
  <si>
    <t>P003</t>
  </si>
  <si>
    <t>Care Medical</t>
  </si>
  <si>
    <t>Cancer</t>
  </si>
  <si>
    <t>Emergency</t>
  </si>
  <si>
    <t>P004</t>
  </si>
  <si>
    <t>Asthma</t>
  </si>
  <si>
    <t>P005</t>
  </si>
  <si>
    <t>Diabetes</t>
  </si>
  <si>
    <t>Deceased</t>
  </si>
  <si>
    <t>P006</t>
  </si>
  <si>
    <t>City Hospital</t>
  </si>
  <si>
    <t>Under Treatment</t>
  </si>
  <si>
    <t>P007</t>
  </si>
  <si>
    <t>Female</t>
  </si>
  <si>
    <t>P008</t>
  </si>
  <si>
    <t>Sunrise Hospital</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</si>
  <si>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</si>
  <si>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</si>
  <si>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</si>
  <si>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</si>
  <si>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</si>
  <si>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</si>
  <si>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</si>
  <si>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</si>
  <si>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</si>
  <si>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</si>
  <si>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</si>
  <si>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</si>
  <si>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</si>
  <si>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</si>
  <si>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</si>
  <si>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</si>
  <si>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</si>
  <si>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</si>
  <si>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</si>
  <si>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</si>
  <si>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</si>
  <si>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</si>
  <si>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</si>
  <si>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</si>
  <si>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</si>
  <si>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</si>
  <si>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</si>
  <si>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</si>
  <si>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</si>
  <si>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</si>
  <si>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</si>
  <si>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</si>
  <si>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</si>
  <si>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</si>
  <si>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</si>
  <si>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</si>
  <si>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</si>
  <si>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</si>
  <si>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</si>
  <si>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</si>
  <si>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</si>
  <si>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</si>
  <si>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</si>
  <si>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</si>
  <si>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</si>
  <si>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</si>
  <si>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</si>
  <si>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</si>
  <si>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</si>
  <si>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</si>
  <si>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</si>
  <si>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</si>
  <si>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</si>
  <si>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</si>
  <si>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</si>
  <si>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</si>
  <si>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</si>
  <si>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</si>
  <si>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</si>
  <si>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</si>
  <si>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</si>
  <si>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</si>
  <si>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</si>
  <si>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</si>
  <si>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</si>
  <si>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</si>
  <si>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</si>
  <si>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</si>
  <si>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</si>
  <si>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</si>
  <si>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</si>
  <si>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</si>
  <si>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</si>
  <si>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</si>
  <si>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</si>
  <si>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</si>
  <si>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</si>
  <si>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</si>
  <si>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</si>
  <si>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</si>
  <si>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</si>
  <si>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</si>
  <si>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</si>
  <si>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</si>
  <si>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</si>
  <si>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</si>
  <si>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</si>
  <si>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</si>
  <si>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</si>
  <si>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</si>
  <si>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</si>
  <si>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</si>
  <si>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</si>
  <si>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</si>
  <si>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</si>
  <si>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</si>
  <si>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</si>
  <si>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</si>
  <si>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</si>
  <si>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</si>
  <si>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</si>
  <si>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</si>
  <si>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</si>
  <si>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</si>
  <si>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</si>
  <si>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</si>
  <si>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</si>
  <si>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</si>
  <si>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</si>
  <si>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</si>
  <si>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</si>
  <si>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</si>
  <si>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</si>
  <si>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</si>
  <si>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</si>
  <si>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</si>
  <si>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</si>
  <si>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</si>
  <si>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</si>
  <si>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</si>
  <si>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</si>
  <si>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</si>
  <si>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</si>
  <si>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</si>
  <si>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</si>
  <si>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</si>
  <si>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</si>
  <si>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</si>
  <si>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</si>
  <si>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</si>
  <si>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</si>
  <si>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</si>
  <si>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</si>
  <si>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</si>
  <si>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</si>
  <si>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</si>
  <si>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</si>
  <si>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</si>
  <si>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</si>
  <si>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</si>
  <si>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</si>
  <si>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</si>
  <si>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</si>
  <si>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</si>
  <si>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</si>
  <si>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</si>
  <si>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</si>
  <si>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</si>
  <si>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</si>
  <si>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</si>
  <si>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</si>
  <si>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</si>
  <si>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</si>
  <si>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</si>
  <si>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</si>
  <si>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</si>
  <si>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</si>
  <si>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</si>
  <si>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</si>
  <si>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</si>
  <si>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</si>
  <si>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</si>
  <si>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</si>
  <si>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</si>
  <si>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</si>
  <si>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</si>
  <si>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</si>
  <si>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</si>
  <si>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</si>
  <si>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</si>
  <si>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</si>
  <si>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</si>
  <si>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</si>
  <si>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</si>
  <si>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</si>
  <si>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</si>
  <si>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</si>
  <si>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</si>
  <si>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</si>
  <si>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</si>
  <si>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</si>
  <si>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</si>
  <si>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</si>
  <si>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</si>
  <si>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</si>
  <si>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</si>
  <si>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</si>
  <si>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</si>
  <si>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</si>
  <si>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</si>
  <si>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</si>
  <si>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</si>
  <si>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Count of Patient ID</t>
  </si>
  <si>
    <t>Average of Age</t>
  </si>
  <si>
    <t>Distinct Count of Hospital</t>
  </si>
  <si>
    <t>Row Labels</t>
  </si>
  <si>
    <t>Grand Total</t>
  </si>
  <si>
    <t>Distinct Count of Disease</t>
  </si>
  <si>
    <t>Total Patients</t>
  </si>
  <si>
    <t>Average Age</t>
  </si>
  <si>
    <t>Total Hospitals</t>
  </si>
  <si>
    <t>Disease Type</t>
  </si>
  <si>
    <t>2022</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</si>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</sst>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20"/>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2" borderId="0" xfId="0" applyFont="1" applyFill="1" applyAlignment="1">
      <alignment horizontal="center"/>
    </xf>
    <xf numFmtId="0" fontId="0" fillId="2" borderId="0" xfId="0" applyFill="1"/>
    <xf numFmtId="1" fontId="1" fillId="2" borderId="0" xfId="0" applyNumberFormat="1" applyFont="1" applyFill="1" applyAlignment="1">
      <alignment horizontal="center"/>
    </xf>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colors>
    <mruColors>
      <color rgb="FF1E3A8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4.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microsoft.com/office/2017/10/relationships/person" Target="persons/person.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[project healthdata.xlsx]pivot!PivotTable8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patient by</a:t>
            </a:r>
            <a:r>
              <a:rPr lang="en-US" sz="1800" b="1" baseline="0">
                <a:solidFill>
                  <a:sysClr val="windowText" lastClr="000000"/>
                </a:solidFill>
              </a:rPr>
              <a:t> Disease</a:t>
            </a:r>
            <a:endParaRPr lang="en-US" sz="1800" b="1">
              <a:solidFill>
                <a:sysClr val="windowText" lastClr="000000"/>
              </a:solidFill>
            </a:endParaRPr>
          </a:p>
        </c:rich>
      </c:tx>
      <c:layout>
        <c:manualLayout>
          <c:xMode val="edge"/>
          <c:yMode val="edge"/>
          <c:x val="0.34239618927351062"/>
          <c:y val="2.88618813952603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pivot!$B$7</c:f>
              <c:strCache>
                <c:ptCount val="1"/>
                <c:pt idx="0">
                  <c:v>Total</c:v>
                </c:pt>
              </c:strCache>
            </c:strRef>
          </c:tx>
          <c:spPr>
            <a:solidFill>
              <a:schemeClr val="dk1">
                <a:tint val="88500"/>
              </a:schemeClr>
            </a:solidFill>
            <a:ln>
              <a:noFill/>
            </a:ln>
            <a:effectLst/>
          </c:spPr>
          <c:invertIfNegative val="0"/>
          <c:cat>
            <c:strRef>
              <c:f>pivot!$A$8:$A$13</c:f>
              <c:strCache>
                <c:ptCount val="5"/>
                <c:pt idx="0">
                  <c:v>Flu</c:v>
                </c:pt>
                <c:pt idx="1">
                  <c:v>Asthma</c:v>
                </c:pt>
                <c:pt idx="2">
                  <c:v>Diabetes</c:v>
                </c:pt>
                <c:pt idx="3">
                  <c:v>Heart Disease</c:v>
                </c:pt>
                <c:pt idx="4">
                  <c:v>Cancer</c:v>
                </c:pt>
              </c:strCache>
            </c:strRef>
          </c:cat>
          <c:val>
            <c:numRef>
              <c:f>pivot!$B$8:$B$13</c:f>
              <c:numCache>
                <c:formatCode>General</c:formatCode>
                <c:ptCount val="5"/>
                <c:pt idx="0">
                  <c:v>49</c:v>
                </c:pt>
                <c:pt idx="1">
                  <c:v>42</c:v>
                </c:pt>
                <c:pt idx="2">
                  <c:v>42</c:v>
                </c:pt>
                <c:pt idx="3">
                  <c:v>36</c:v>
                </c:pt>
                <c:pt idx="4">
                  <c:v>31</c:v>
                </c:pt>
              </c:numCache>
            </c:numRef>
          </c:val>
          <c:extLst>
            <c:ext xmlns:c16="http://schemas.microsoft.com/office/drawing/2014/chart" uri="{C3380CC4-5D6E-409C-BE32-E72D297353CC}">
              <c16:uniqueId val="{00000000-E59C-40D7-93BE-D07F07AC6004}"/>
            </c:ext>
          </c:extLst>
        </c:ser>
        <c:dLbls>
          <c:showLegendKey val="0"/>
          <c:showVal val="0"/>
          <c:showCatName val="0"/>
          <c:showSerName val="0"/>
          <c:showPercent val="0"/>
          <c:showBubbleSize val="0"/>
        </c:dLbls>
        <c:gapWidth val="182"/>
        <c:axId val="1790870064"/>
        <c:axId val="1790865472"/>
      </c:barChart>
      <c:catAx>
        <c:axId val="1790870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20" b="0" i="0" u="none" strike="noStrike" kern="1200" baseline="0">
                <a:solidFill>
                  <a:schemeClr val="tx1"/>
                </a:solidFill>
                <a:latin typeface="+mn-lt"/>
                <a:ea typeface="+mn-ea"/>
                <a:cs typeface="+mn-cs"/>
              </a:defRPr>
            </a:pPr>
            <a:endParaRPr lang="en-US"/>
          </a:p>
        </c:txPr>
        <c:crossAx val="1790865472"/>
        <c:crosses val="autoZero"/>
        <c:auto val="1"/>
        <c:lblAlgn val="ctr"/>
        <c:lblOffset val="100"/>
        <c:noMultiLvlLbl val="0"/>
      </c:catAx>
      <c:valAx>
        <c:axId val="1790865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87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1270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[project healthdata.xlsx]pivot!PivotTable9</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Hospital W</a:t>
            </a:r>
            <a:r>
              <a:rPr lang="en-US" sz="1800" b="1" baseline="0">
                <a:solidFill>
                  <a:sysClr val="windowText" lastClr="000000"/>
                </a:solidFill>
              </a:rPr>
              <a:t>ise Patients</a:t>
            </a:r>
            <a:endParaRPr lang="en-US" sz="1800" b="1">
              <a:solidFill>
                <a:sysClr val="windowText" lastClr="000000"/>
              </a:solidFill>
            </a:endParaRPr>
          </a:p>
        </c:rich>
      </c:tx>
      <c:layout>
        <c:manualLayout>
          <c:xMode val="edge"/>
          <c:yMode val="edge"/>
          <c:x val="0.31657668645633424"/>
          <c:y val="3.88740998122565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pivot!$E$7</c:f>
              <c:strCache>
                <c:ptCount val="1"/>
                <c:pt idx="0">
                  <c:v>Total</c:v>
                </c:pt>
              </c:strCache>
            </c:strRef>
          </c:tx>
          <c:spPr>
            <a:solidFill>
              <a:schemeClr val="dk1">
                <a:tint val="88500"/>
              </a:schemeClr>
            </a:solidFill>
            <a:ln>
              <a:noFill/>
            </a:ln>
            <a:effectLst/>
          </c:spPr>
          <c:invertIfNegative val="0"/>
          <c:cat>
            <c:strRef>
              <c:f>pivot!$D$8:$D$13</c:f>
              <c:strCache>
                <c:ptCount val="5"/>
                <c:pt idx="0">
                  <c:v>Care Medical</c:v>
                </c:pt>
                <c:pt idx="1">
                  <c:v>Sunrise Hospital</c:v>
                </c:pt>
                <c:pt idx="2">
                  <c:v>Apollo Clinic</c:v>
                </c:pt>
                <c:pt idx="3">
                  <c:v>City Hospital</c:v>
                </c:pt>
                <c:pt idx="4">
                  <c:v>Metro Hospital</c:v>
                </c:pt>
              </c:strCache>
            </c:strRef>
          </c:cat>
          <c:val>
            <c:numRef>
              <c:f>pivot!$E$8:$E$13</c:f>
              <c:numCache>
                <c:formatCode>General</c:formatCode>
                <c:ptCount val="5"/>
                <c:pt idx="0">
                  <c:v>46</c:v>
                </c:pt>
                <c:pt idx="1">
                  <c:v>44</c:v>
                </c:pt>
                <c:pt idx="2">
                  <c:v>42</c:v>
                </c:pt>
                <c:pt idx="3">
                  <c:v>36</c:v>
                </c:pt>
                <c:pt idx="4">
                  <c:v>32</c:v>
                </c:pt>
              </c:numCache>
            </c:numRef>
          </c:val>
          <c:extLst>
            <c:ext xmlns:c16="http://schemas.microsoft.com/office/drawing/2014/chart" uri="{C3380CC4-5D6E-409C-BE32-E72D297353CC}">
              <c16:uniqueId val="{00000000-072B-4CA2-9CE3-01C710E357B9}"/>
            </c:ext>
          </c:extLst>
        </c:ser>
        <c:dLbls>
          <c:showLegendKey val="0"/>
          <c:showVal val="0"/>
          <c:showCatName val="0"/>
          <c:showSerName val="0"/>
          <c:showPercent val="0"/>
          <c:showBubbleSize val="0"/>
        </c:dLbls>
        <c:gapWidth val="219"/>
        <c:overlap val="-27"/>
        <c:axId val="796342496"/>
        <c:axId val="1624018352"/>
      </c:barChart>
      <c:catAx>
        <c:axId val="79634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0" i="0" u="none" strike="noStrike" kern="1200" baseline="0">
                <a:solidFill>
                  <a:schemeClr val="tx1"/>
                </a:solidFill>
                <a:latin typeface="+mn-lt"/>
                <a:ea typeface="+mn-ea"/>
                <a:cs typeface="+mn-cs"/>
              </a:defRPr>
            </a:pPr>
            <a:endParaRPr lang="en-US"/>
          </a:p>
        </c:txPr>
        <c:crossAx val="1624018352"/>
        <c:crosses val="autoZero"/>
        <c:auto val="1"/>
        <c:lblAlgn val="ctr"/>
        <c:lblOffset val="100"/>
        <c:noMultiLvlLbl val="0"/>
      </c:catAx>
      <c:valAx>
        <c:axId val="162401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4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1270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[project healthdata.xlsx]pivot!PivotTable10</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Admissions</a:t>
            </a:r>
            <a:r>
              <a:rPr lang="en-US" sz="1800" b="1" baseline="0">
                <a:solidFill>
                  <a:sysClr val="windowText" lastClr="000000"/>
                </a:solidFill>
              </a:rPr>
              <a:t> Over Time</a:t>
            </a:r>
            <a:endParaRPr lang="en-US" sz="1800" b="1">
              <a:solidFill>
                <a:sysClr val="windowText" lastClr="000000"/>
              </a:solidFill>
            </a:endParaRPr>
          </a:p>
        </c:rich>
      </c:tx>
      <c:layout>
        <c:manualLayout>
          <c:xMode val="edge"/>
          <c:yMode val="edge"/>
          <c:x val="0.27888355598808579"/>
          <c:y val="4.2176784353568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pivot!$H$7</c:f>
              <c:strCache>
                <c:ptCount val="1"/>
                <c:pt idx="0">
                  <c:v>Total</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cat>
            <c:strRef>
              <c:f>pivot!$G$8:$G$11</c:f>
              <c:strCache>
                <c:ptCount val="3"/>
                <c:pt idx="0">
                  <c:v>2022</c:v>
                </c:pt>
                <c:pt idx="1">
                  <c:v>2023</c:v>
                </c:pt>
                <c:pt idx="2">
                  <c:v>2024</c:v>
                </c:pt>
              </c:strCache>
            </c:strRef>
          </c:cat>
          <c:val>
            <c:numRef>
              <c:f>pivot!$H$8:$H$11</c:f>
              <c:numCache>
                <c:formatCode>General</c:formatCode>
                <c:ptCount val="3"/>
                <c:pt idx="0">
                  <c:v>76</c:v>
                </c:pt>
                <c:pt idx="1">
                  <c:v>81</c:v>
                </c:pt>
                <c:pt idx="2">
                  <c:v>43</c:v>
                </c:pt>
              </c:numCache>
            </c:numRef>
          </c:val>
          <c:smooth val="0"/>
          <c:extLst>
            <c:ext xmlns:c16="http://schemas.microsoft.com/office/drawing/2014/chart" uri="{C3380CC4-5D6E-409C-BE32-E72D297353CC}">
              <c16:uniqueId val="{00000000-3A98-41E8-A5D4-B1AFC041F145}"/>
            </c:ext>
          </c:extLst>
        </c:ser>
        <c:dLbls>
          <c:showLegendKey val="0"/>
          <c:showVal val="0"/>
          <c:showCatName val="0"/>
          <c:showSerName val="0"/>
          <c:showPercent val="0"/>
          <c:showBubbleSize val="0"/>
        </c:dLbls>
        <c:marker val="1"/>
        <c:smooth val="0"/>
        <c:axId val="1792721024"/>
        <c:axId val="1792721504"/>
      </c:lineChart>
      <c:catAx>
        <c:axId val="179272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792721504"/>
        <c:crosses val="autoZero"/>
        <c:auto val="1"/>
        <c:lblAlgn val="ctr"/>
        <c:lblOffset val="100"/>
        <c:noMultiLvlLbl val="0"/>
      </c:catAx>
      <c:valAx>
        <c:axId val="179272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79272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1270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[project healthdata.xlsx]pivot!PivotTable11</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Gender Distribution</a:t>
            </a:r>
          </a:p>
        </c:rich>
      </c:tx>
      <c:layout>
        <c:manualLayout>
          <c:xMode val="edge"/>
          <c:yMode val="edge"/>
          <c:x val="0.3078255163756704"/>
          <c:y val="4.00681297816496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w="19050">
            <a:solidFill>
              <a:schemeClr val="lt1"/>
            </a:solidFill>
          </a:ln>
          <a:effectLst/>
        </c:spPr>
      </c:pivotFmt>
      <c:pivotFmt>
        <c:idx val="6"/>
        <c:spPr>
          <a:solidFill>
            <a:schemeClr val="dk1">
              <a:tint val="88500"/>
            </a:schemeClr>
          </a:solidFill>
          <a:ln w="19050">
            <a:solidFill>
              <a:schemeClr val="lt1"/>
            </a:solidFill>
          </a:ln>
          <a:effectLst/>
        </c:spPr>
      </c:pivotFmt>
    </c:pivotFmts>
    <c:plotArea>
      <c:layout/>
      <c:pieChart>
        <c:varyColors val="1"/>
        <c:ser>
          <c:idx val="0"/>
          <c:order val="0"/>
          <c:tx>
            <c:strRef>
              <c:f>pivot!$C$17</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3C81-4FEB-9859-37F96EA21974}"/>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3C81-4FEB-9859-37F96EA21974}"/>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pivot!$B$18:$B$20</c:f>
              <c:strCache>
                <c:ptCount val="2"/>
                <c:pt idx="0">
                  <c:v>Female</c:v>
                </c:pt>
                <c:pt idx="1">
                  <c:v>Male</c:v>
                </c:pt>
              </c:strCache>
            </c:strRef>
          </c:cat>
          <c:val>
            <c:numRef>
              <c:f>pivot!$C$18:$C$20</c:f>
              <c:numCache>
                <c:formatCode>0.00%</c:formatCode>
                <c:ptCount val="2"/>
                <c:pt idx="0">
                  <c:v>0.45500000000000002</c:v>
                </c:pt>
                <c:pt idx="1">
                  <c:v>0.54500000000000004</c:v>
                </c:pt>
              </c:numCache>
            </c:numRef>
          </c:val>
          <c:extLst>
            <c:ext xmlns:c16="http://schemas.microsoft.com/office/drawing/2014/chart" uri="{C3380CC4-5D6E-409C-BE32-E72D297353CC}">
              <c16:uniqueId val="{00000004-3C81-4FEB-9859-37F96EA2197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1270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[project healthdata.xlsx]pivot!PivotTable12</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Outcome Analysis</a:t>
            </a:r>
          </a:p>
        </c:rich>
      </c:tx>
      <c:layout>
        <c:manualLayout>
          <c:xMode val="edge"/>
          <c:yMode val="edge"/>
          <c:x val="0.36012658227848099"/>
          <c:y val="4.04989698868286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w="19050">
            <a:solidFill>
              <a:schemeClr val="lt1"/>
            </a:solidFill>
          </a:ln>
          <a:effectLst/>
        </c:spPr>
      </c:pivotFmt>
      <c:pivotFmt>
        <c:idx val="7"/>
        <c:spPr>
          <a:solidFill>
            <a:schemeClr val="dk1">
              <a:tint val="88500"/>
            </a:schemeClr>
          </a:solidFill>
          <a:ln w="19050">
            <a:solidFill>
              <a:schemeClr val="lt1"/>
            </a:solidFill>
          </a:ln>
          <a:effectLst/>
        </c:spPr>
      </c:pivotFmt>
      <c:pivotFmt>
        <c:idx val="8"/>
        <c:spPr>
          <a:solidFill>
            <a:schemeClr val="dk1">
              <a:tint val="88500"/>
            </a:schemeClr>
          </a:solidFill>
          <a:ln w="19050">
            <a:solidFill>
              <a:schemeClr val="lt1"/>
            </a:solidFill>
          </a:ln>
          <a:effectLst/>
        </c:spPr>
      </c:pivotFmt>
    </c:pivotFmts>
    <c:plotArea>
      <c:layout>
        <c:manualLayout>
          <c:layoutTarget val="inner"/>
          <c:xMode val="edge"/>
          <c:yMode val="edge"/>
          <c:x val="0.15190609605502517"/>
          <c:y val="0.28100452497201289"/>
          <c:w val="0.43030865345035918"/>
          <c:h val="0.60973245279823896"/>
        </c:manualLayout>
      </c:layout>
      <c:doughnutChart>
        <c:varyColors val="1"/>
        <c:ser>
          <c:idx val="0"/>
          <c:order val="0"/>
          <c:tx>
            <c:strRef>
              <c:f>pivot!$F$17</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AEE6-4B40-9947-0D3DFC63430D}"/>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AEE6-4B40-9947-0D3DFC63430D}"/>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AEE6-4B40-9947-0D3DFC6343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pivot!$E$18:$E$21</c:f>
              <c:strCache>
                <c:ptCount val="3"/>
                <c:pt idx="0">
                  <c:v>Deceased</c:v>
                </c:pt>
                <c:pt idx="1">
                  <c:v>Recovered</c:v>
                </c:pt>
                <c:pt idx="2">
                  <c:v>Under Treatment</c:v>
                </c:pt>
              </c:strCache>
            </c:strRef>
          </c:cat>
          <c:val>
            <c:numRef>
              <c:f>pivot!$F$18:$F$21</c:f>
              <c:numCache>
                <c:formatCode>General</c:formatCode>
                <c:ptCount val="3"/>
                <c:pt idx="0">
                  <c:v>80</c:v>
                </c:pt>
                <c:pt idx="1">
                  <c:v>55</c:v>
                </c:pt>
                <c:pt idx="2">
                  <c:v>65</c:v>
                </c:pt>
              </c:numCache>
            </c:numRef>
          </c:val>
          <c:extLst>
            <c:ext xmlns:c16="http://schemas.microsoft.com/office/drawing/2014/chart" uri="{C3380CC4-5D6E-409C-BE32-E72D297353CC}">
              <c16:uniqueId val="{00000006-AEE6-4B40-9947-0D3DFC63430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5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1270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579120</xdr:colOff>
      <xdr:row>6</xdr:row>
      <xdr:rowOff>0</xdr:rowOff>
    </xdr:from>
    <xdr:to>
      <xdr:col>12</xdr:col>
      <xdr:colOff>579120</xdr:colOff>
      <xdr:row>20</xdr:row>
      <xdr:rowOff>20955</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3E50ACD2-4176-C0F8-0F1D-D3A8657CE51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867900" y="1097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3</xdr:row>
      <xdr:rowOff>99060</xdr:rowOff>
    </xdr:from>
    <xdr:to>
      <xdr:col>3</xdr:col>
      <xdr:colOff>670560</xdr:colOff>
      <xdr:row>7</xdr:row>
      <xdr:rowOff>129540</xdr:rowOff>
    </xdr:to>
    <xdr:graphicFrame macro="">
      <xdr:nvGraphicFramePr>
        <xdr:cNvPr id="3" name="Chart 2">
          <a:extLst>
            <a:ext uri="{FF2B5EF4-FFF2-40B4-BE49-F238E27FC236}">
              <a16:creationId xmlns:a16="http://schemas.microsoft.com/office/drawing/2014/main" id="{D3E0B583-8C35-4E52-9ECC-65E8383486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746760</xdr:colOff>
      <xdr:row>3</xdr:row>
      <xdr:rowOff>91440</xdr:rowOff>
    </xdr:from>
    <xdr:to>
      <xdr:col>6</xdr:col>
      <xdr:colOff>480060</xdr:colOff>
      <xdr:row>7</xdr:row>
      <xdr:rowOff>160020</xdr:rowOff>
    </xdr:to>
    <xdr:graphicFrame macro="">
      <xdr:nvGraphicFramePr>
        <xdr:cNvPr id="4" name="Chart 3">
          <a:extLst>
            <a:ext uri="{FF2B5EF4-FFF2-40B4-BE49-F238E27FC236}">
              <a16:creationId xmlns:a16="http://schemas.microsoft.com/office/drawing/2014/main" id="{A1BB0A34-9F95-4222-83AE-6BAA17435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350520</xdr:colOff>
      <xdr:row>7</xdr:row>
      <xdr:rowOff>228600</xdr:rowOff>
    </xdr:from>
    <xdr:to>
      <xdr:col>9</xdr:col>
      <xdr:colOff>480060</xdr:colOff>
      <xdr:row>11</xdr:row>
      <xdr:rowOff>281940</xdr:rowOff>
    </xdr:to>
    <xdr:graphicFrame macro="">
      <xdr:nvGraphicFramePr>
        <xdr:cNvPr id="5" name="Chart 4">
          <a:extLst>
            <a:ext uri="{FF2B5EF4-FFF2-40B4-BE49-F238E27FC236}">
              <a16:creationId xmlns:a16="http://schemas.microsoft.com/office/drawing/2014/main" id="{E19135A4-65D5-4A88-BBEA-B916A5569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83820</xdr:colOff>
      <xdr:row>7</xdr:row>
      <xdr:rowOff>238760</xdr:rowOff>
    </xdr:from>
    <xdr:to>
      <xdr:col>4</xdr:col>
      <xdr:colOff>281940</xdr:colOff>
      <xdr:row>11</xdr:row>
      <xdr:rowOff>294640</xdr:rowOff>
    </xdr:to>
    <xdr:graphicFrame macro="">
      <xdr:nvGraphicFramePr>
        <xdr:cNvPr id="6" name="Chart 5">
          <a:extLst>
            <a:ext uri="{FF2B5EF4-FFF2-40B4-BE49-F238E27FC236}">
              <a16:creationId xmlns:a16="http://schemas.microsoft.com/office/drawing/2014/main" id="{DBCF5701-25BD-495F-8BEA-9E4732901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548640</xdr:colOff>
      <xdr:row>3</xdr:row>
      <xdr:rowOff>106680</xdr:rowOff>
    </xdr:from>
    <xdr:to>
      <xdr:col>9</xdr:col>
      <xdr:colOff>502920</xdr:colOff>
      <xdr:row>7</xdr:row>
      <xdr:rowOff>160020</xdr:rowOff>
    </xdr:to>
    <xdr:graphicFrame macro="">
      <xdr:nvGraphicFramePr>
        <xdr:cNvPr id="7" name="Chart 6">
          <a:extLst>
            <a:ext uri="{FF2B5EF4-FFF2-40B4-BE49-F238E27FC236}">
              <a16:creationId xmlns:a16="http://schemas.microsoft.com/office/drawing/2014/main" id="{DA8C3216-8C88-4498-A2B7-2AC9FFF03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579120</xdr:colOff>
      <xdr:row>7</xdr:row>
      <xdr:rowOff>464821</xdr:rowOff>
    </xdr:from>
    <xdr:to>
      <xdr:col>12</xdr:col>
      <xdr:colOff>411480</xdr:colOff>
      <xdr:row>9</xdr:row>
      <xdr:rowOff>373381</xdr:rowOff>
    </xdr:to>
    <mc:AlternateContent xmlns:mc="http://schemas.openxmlformats.org/markup-compatibility/2006" xmlns:a14="http://schemas.microsoft.com/office/drawing/2010/main">
      <mc:Choice Requires="a14">
        <xdr:graphicFrame macro="">
          <xdr:nvGraphicFramePr>
            <xdr:cNvPr id="8" name="Admission Type">
              <a:extLst>
                <a:ext uri="{FF2B5EF4-FFF2-40B4-BE49-F238E27FC236}">
                  <a16:creationId xmlns:a16="http://schemas.microsoft.com/office/drawing/2014/main" id="{95BDBBC9-16CD-9191-1617-0175C6C903BD}"/>
                </a:ext>
              </a:extLst>
            </xdr:cNvPr>
            <xdr:cNvGraphicFramePr/>
          </xdr:nvGraphicFramePr>
          <xdr:xfrm>
            <a:off x="0" y="0"/>
            <a:ext cx="0" cy="0"/>
          </xdr:xfrm>
          <a:graphic>
            <a:graphicData uri="http://schemas.microsoft.com/office/drawing/2010/slicer">
              <sle:slicer xmlns:sle="http://schemas.microsoft.com/office/drawing/2010/slicer" name="Admission Type"/>
            </a:graphicData>
          </a:graphic>
        </xdr:graphicFrame>
      </mc:Choice>
      <mc:Fallback xmlns="">
        <xdr:sp macro="" textlink="">
          <xdr:nvSpPr>
            <xdr:cNvPr id="0" name=""/>
            <xdr:cNvSpPr>
              <a:spLocks noTextEdit="1"/>
            </xdr:cNvSpPr>
          </xdr:nvSpPr>
          <xdr:spPr>
            <a:xfrm>
              <a:off x="9895840" y="4091941"/>
              <a:ext cx="166116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xdr:colOff>
      <xdr:row>5</xdr:row>
      <xdr:rowOff>297181</xdr:rowOff>
    </xdr:from>
    <xdr:to>
      <xdr:col>12</xdr:col>
      <xdr:colOff>403860</xdr:colOff>
      <xdr:row>7</xdr:row>
      <xdr:rowOff>441960</xdr:rowOff>
    </xdr:to>
    <mc:AlternateContent xmlns:mc="http://schemas.openxmlformats.org/markup-compatibility/2006" xmlns:a14="http://schemas.microsoft.com/office/drawing/2010/main">
      <mc:Choice Requires="a14">
        <xdr:graphicFrame macro="">
          <xdr:nvGraphicFramePr>
            <xdr:cNvPr id="9" name="Disease">
              <a:extLst>
                <a:ext uri="{FF2B5EF4-FFF2-40B4-BE49-F238E27FC236}">
                  <a16:creationId xmlns:a16="http://schemas.microsoft.com/office/drawing/2014/main" id="{B2BDE936-7E55-7D96-13F3-99DC28C827A4}"/>
                </a:ext>
              </a:extLst>
            </xdr:cNvPr>
            <xdr:cNvGraphicFramePr/>
          </xdr:nvGraphicFramePr>
          <xdr:xfrm>
            <a:off x="0" y="0"/>
            <a:ext cx="0" cy="0"/>
          </xdr:xfrm>
          <a:graphic>
            <a:graphicData uri="http://schemas.microsoft.com/office/drawing/2010/slicer">
              <sle:slicer xmlns:sle="http://schemas.microsoft.com/office/drawing/2010/slicer" name="Disease"/>
            </a:graphicData>
          </a:graphic>
        </xdr:graphicFrame>
      </mc:Choice>
      <mc:Fallback xmlns="">
        <xdr:sp macro="" textlink="">
          <xdr:nvSpPr>
            <xdr:cNvPr id="0" name=""/>
            <xdr:cNvSpPr>
              <a:spLocks noTextEdit="1"/>
            </xdr:cNvSpPr>
          </xdr:nvSpPr>
          <xdr:spPr>
            <a:xfrm>
              <a:off x="9933940" y="2887981"/>
              <a:ext cx="161544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586740</xdr:colOff>
      <xdr:row>3</xdr:row>
      <xdr:rowOff>38101</xdr:rowOff>
    </xdr:from>
    <xdr:to>
      <xdr:col>13</xdr:col>
      <xdr:colOff>2540</xdr:colOff>
      <xdr:row>5</xdr:row>
      <xdr:rowOff>236220</xdr:rowOff>
    </xdr:to>
    <mc:AlternateContent xmlns:mc="http://schemas.openxmlformats.org/markup-compatibility/2006" xmlns:a14="http://schemas.microsoft.com/office/drawing/2010/main">
      <mc:Choice Requires="a14">
        <xdr:graphicFrame macro="">
          <xdr:nvGraphicFramePr>
            <xdr:cNvPr id="10" name="Hospital">
              <a:extLst>
                <a:ext uri="{FF2B5EF4-FFF2-40B4-BE49-F238E27FC236}">
                  <a16:creationId xmlns:a16="http://schemas.microsoft.com/office/drawing/2014/main" id="{493B9B63-1CF3-35CE-8E3C-6FF43872B774}"/>
                </a:ext>
              </a:extLst>
            </xdr:cNvPr>
            <xdr:cNvGraphicFramePr/>
          </xdr:nvGraphicFramePr>
          <xdr:xfrm>
            <a:off x="0" y="0"/>
            <a:ext cx="0" cy="0"/>
          </xdr:xfrm>
          <a:graphic>
            <a:graphicData uri="http://schemas.microsoft.com/office/drawing/2010/slicer">
              <sle:slicer xmlns:sle="http://schemas.microsoft.com/office/drawing/2010/slicer" name="Hospital"/>
            </a:graphicData>
          </a:graphic>
        </xdr:graphicFrame>
      </mc:Choice>
      <mc:Fallback xmlns="">
        <xdr:sp macro="" textlink="">
          <xdr:nvSpPr>
            <xdr:cNvPr id="0" name=""/>
            <xdr:cNvSpPr>
              <a:spLocks noTextEdit="1"/>
            </xdr:cNvSpPr>
          </xdr:nvSpPr>
          <xdr:spPr>
            <a:xfrm>
              <a:off x="9903460" y="1592581"/>
              <a:ext cx="1661160" cy="1234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9</xdr:row>
      <xdr:rowOff>419101</xdr:rowOff>
    </xdr:from>
    <xdr:to>
      <xdr:col>13</xdr:col>
      <xdr:colOff>10160</xdr:colOff>
      <xdr:row>11</xdr:row>
      <xdr:rowOff>312421</xdr:rowOff>
    </xdr:to>
    <mc:AlternateContent xmlns:mc="http://schemas.openxmlformats.org/markup-compatibility/2006" xmlns:a14="http://schemas.microsoft.com/office/drawing/2010/main">
      <mc:Choice Requires="a14">
        <xdr:graphicFrame macro="">
          <xdr:nvGraphicFramePr>
            <xdr:cNvPr id="11" name="Gender 1">
              <a:extLst>
                <a:ext uri="{FF2B5EF4-FFF2-40B4-BE49-F238E27FC236}">
                  <a16:creationId xmlns:a16="http://schemas.microsoft.com/office/drawing/2014/main" id="{1843B50F-9CFB-2C06-7087-E5C898C2B1A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926320" y="5082541"/>
              <a:ext cx="164592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68580</xdr:colOff>
      <xdr:row>0</xdr:row>
      <xdr:rowOff>0</xdr:rowOff>
    </xdr:from>
    <xdr:ext cx="4840108" cy="530658"/>
    <xdr:sp macro="" textlink="">
      <xdr:nvSpPr>
        <xdr:cNvPr id="12" name="TextBox 11">
          <a:extLst>
            <a:ext uri="{FF2B5EF4-FFF2-40B4-BE49-F238E27FC236}">
              <a16:creationId xmlns:a16="http://schemas.microsoft.com/office/drawing/2014/main" id="{6F3120F9-360A-DBC3-835B-BA0FFFEEC378}"/>
            </a:ext>
          </a:extLst>
        </xdr:cNvPr>
        <xdr:cNvSpPr txBox="1"/>
      </xdr:nvSpPr>
      <xdr:spPr>
        <a:xfrm>
          <a:off x="2705100" y="0"/>
          <a:ext cx="484010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b="1"/>
            <a:t>Healthcare</a:t>
          </a:r>
          <a:r>
            <a:rPr lang="en-IN" sz="2800" b="1" baseline="0"/>
            <a:t> Analysis Dashboard</a:t>
          </a:r>
          <a:endParaRPr lang="en-IN" sz="2800" b="1"/>
        </a:p>
      </xdr:txBody>
    </xdr:sp>
    <xdr:clientData/>
  </xdr:one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0.430874305559" backgroundQuery="1" createdVersion="8" refreshedVersion="8" minRefreshableVersion="3" recordCount="0" supportSubquery="1" supportAdvancedDrill="1" xr:uid="{B23AD4D1-AF20-43AE-AD9F-F5FFC4724203}">
  <cacheSource type="external" connectionId="2"/>
  <cacheFields count="6">
    <cacheField name="[Measures].[Count of Patient ID]" caption="Count of Patient ID" numFmtId="0" hierarchy="14" level="32767"/>
    <cacheField name="[Healthcare_Data].[Date].[Date]" caption="Date" numFmtId="0" hierarchy="1" level="1">
      <sharedItems containsSemiMixedTypes="0" containsNonDate="0" containsDate="1" containsString="0" minDate="2022-01-03T00:00:00" maxDate="2024-06-19T00:00:00" count="182">
        <d v="2022-01-03T00:00:00"/>
        <d v="2022-01-10T00:00:00"/>
        <d v="2022-01-18T00:00:00"/>
        <d v="2022-01-22T00:00:00"/>
        <d v="2022-02-03T00:00:00"/>
        <d v="2022-02-12T00:00:00"/>
        <d v="2022-02-14T00:00:00"/>
        <d v="2022-02-18T00:00:00"/>
        <d v="2022-02-19T00:00:00"/>
        <d v="2022-03-02T00:00:00"/>
        <d v="2022-03-06T00:00:00"/>
        <d v="2022-03-09T00:00:00"/>
        <d v="2022-03-12T00:00:00"/>
        <d v="2022-03-14T00:00:00"/>
        <d v="2022-03-19T00:00:00"/>
        <d v="2022-03-20T00:00:00"/>
        <d v="2022-03-22T00:00:00"/>
        <d v="2022-03-28T00:00:00"/>
        <d v="2022-03-31T00:00:00"/>
        <d v="2022-04-05T00:00:00"/>
        <d v="2022-04-09T00:00:00"/>
        <d v="2022-04-10T00:00:00"/>
        <d v="2022-04-11T00:00:00"/>
        <d v="2022-04-14T00:00:00"/>
        <d v="2022-04-20T00:00:00"/>
        <d v="2022-04-22T00:00:00"/>
        <d v="2022-04-27T00:00:00"/>
        <d v="2022-04-29T00:00:00"/>
        <d v="2022-05-02T00:00:00"/>
        <d v="2022-05-07T00:00:00"/>
        <d v="2022-05-08T00:00:00"/>
        <d v="2022-05-10T00:00:00"/>
        <d v="2022-05-16T00:00:00"/>
        <d v="2022-05-20T00:00:00"/>
        <d v="2022-05-23T00:00:00"/>
        <d v="2022-05-28T00:00:00"/>
        <d v="2022-06-06T00:00:00"/>
        <d v="2022-06-07T00:00:00"/>
        <d v="2022-06-10T00:00:00"/>
        <d v="2022-06-25T00:00:00"/>
        <d v="2022-06-27T00:00:00"/>
        <d v="2022-07-02T00:00:00"/>
        <d v="2022-07-29T00:00:00"/>
        <d v="2022-08-03T00:00:00"/>
        <d v="2022-08-14T00:00:00"/>
        <d v="2022-08-17T00:00:00"/>
        <d v="2022-08-27T00:00:00"/>
        <d v="2022-09-08T00:00:00"/>
        <d v="2022-09-09T00:00:00"/>
        <d v="2022-09-10T00:00:00"/>
        <d v="2022-09-15T00:00:00"/>
        <d v="2022-09-16T00:00:00"/>
        <d v="2022-09-22T00:00:00"/>
        <d v="2022-09-29T00:00:00"/>
        <d v="2022-10-06T00:00:00"/>
        <d v="2022-10-10T00:00:00"/>
        <d v="2022-10-12T00:00:00"/>
        <d v="2022-10-16T00:00:00"/>
        <d v="2022-10-30T00:00:00"/>
        <d v="2022-11-13T00:00:00"/>
        <d v="2022-11-21T00:00:00"/>
        <d v="2022-12-04T00:00:00"/>
        <d v="2022-12-05T00:00:00"/>
        <d v="2022-12-18T00:00:00"/>
        <d v="2022-12-22T00:00:00"/>
        <d v="2022-12-23T00:00:00"/>
        <d v="2022-12-26T00:00:00"/>
        <d v="2022-12-28T00:00:00"/>
        <d v="2022-12-30T00:00:00"/>
        <d v="2023-01-02T00:00:00"/>
        <d v="2023-01-07T00:00:00"/>
        <d v="2023-01-20T00:00:00"/>
        <d v="2023-01-24T00:00:00"/>
        <d v="2023-01-26T00:00:00"/>
        <d v="2023-01-27T00:00:00"/>
        <d v="2023-01-31T00:00:00"/>
        <d v="2023-02-01T00:00:00"/>
        <d v="2023-02-12T00:00:00"/>
        <d v="2023-02-24T00:00:00"/>
        <d v="2023-02-28T00:00:00"/>
        <d v="2023-03-07T00:00:00"/>
        <d v="2023-03-08T00:00:00"/>
        <d v="2023-03-14T00:00:00"/>
        <d v="2023-03-16T00:00:00"/>
        <d v="2023-03-18T00:00:00"/>
        <d v="2023-03-19T00:00:00"/>
        <d v="2023-03-29T00:00:00"/>
        <d v="2023-04-13T00:00:00"/>
        <d v="2023-04-18T00:00:00"/>
        <d v="2023-04-21T00:00:00"/>
        <d v="2023-04-26T00:00:00"/>
        <d v="2023-04-28T00:00:00"/>
        <d v="2023-04-30T00:00:00"/>
        <d v="2023-05-13T00:00:00"/>
        <d v="2023-05-19T00:00:00"/>
        <d v="2023-05-22T00:00:00"/>
        <d v="2023-05-27T00:00:00"/>
        <d v="2023-06-03T00:00:00"/>
        <d v="2023-06-05T00:00:00"/>
        <d v="2023-06-08T00:00:00"/>
        <d v="2023-06-11T00:00:00"/>
        <d v="2023-06-13T00:00:00"/>
        <d v="2023-06-16T00:00:00"/>
        <d v="2023-06-28T00:00:00"/>
        <d v="2023-07-02T00:00:00"/>
        <d v="2023-07-03T00:00:00"/>
        <d v="2023-07-06T00:00:00"/>
        <d v="2023-07-19T00:00:00"/>
        <d v="2023-07-26T00:00:00"/>
        <d v="2023-07-29T00:00:00"/>
        <d v="2023-08-04T00:00:00"/>
        <d v="2023-08-06T00:00:00"/>
        <d v="2023-08-12T00:00:00"/>
        <d v="2023-08-13T00:00:00"/>
        <d v="2023-08-22T00:00:00"/>
        <d v="2023-08-26T00:00:00"/>
        <d v="2023-08-28T00:00:00"/>
        <d v="2023-08-29T00:00:00"/>
        <d v="2023-08-30T00:00:00"/>
        <d v="2023-09-13T00:00:00"/>
        <d v="2023-09-14T00:00:00"/>
        <d v="2023-09-22T00:00:00"/>
        <d v="2023-09-23T00:00:00"/>
        <d v="2023-09-26T00:00:00"/>
        <d v="2023-09-28T00:00:00"/>
        <d v="2023-09-29T00:00:00"/>
        <d v="2023-10-02T00:00:00"/>
        <d v="2023-10-06T00:00:00"/>
        <d v="2023-10-08T00:00:00"/>
        <d v="2023-10-11T00:00:00"/>
        <d v="2023-10-12T00:00:00"/>
        <d v="2023-10-15T00:00:00"/>
        <d v="2023-10-20T00:00:00"/>
        <d v="2023-10-21T00:00:00"/>
        <d v="2023-10-27T00:00:00"/>
        <d v="2023-10-28T00:00:00"/>
        <d v="2023-11-04T00:00:00"/>
        <d v="2023-11-19T00:00:00"/>
        <d v="2023-11-27T00:00:00"/>
        <d v="2023-11-28T00:00:00"/>
        <d v="2023-11-30T00:00:00"/>
        <d v="2023-12-01T00:00:00"/>
        <d v="2023-12-02T00:00:00"/>
        <d v="2024-01-02T00:00:00"/>
        <d v="2024-01-05T00:00:00"/>
        <d v="2024-01-10T00:00:00"/>
        <d v="2024-01-11T00:00:00"/>
        <d v="2024-01-13T00:00:00"/>
        <d v="2024-01-14T00:00:00"/>
        <d v="2024-01-16T00:00:00"/>
        <d v="2024-01-17T00:00:00"/>
        <d v="2024-01-20T00:00:00"/>
        <d v="2024-01-22T00:00:00"/>
        <d v="2024-01-25T00:00:00"/>
        <d v="2024-02-01T00:00:00"/>
        <d v="2024-02-03T00:00:00"/>
        <d v="2024-02-07T00:00:00"/>
        <d v="2024-02-08T00:00:00"/>
        <d v="2024-02-09T00:00:00"/>
        <d v="2024-02-19T00:00:00"/>
        <d v="2024-02-20T00:00:00"/>
        <d v="2024-02-26T00:00:00"/>
        <d v="2024-02-29T00:00:00"/>
        <d v="2024-03-01T00:00:00"/>
        <d v="2024-03-09T00:00:00"/>
        <d v="2024-03-10T00:00:00"/>
        <d v="2024-03-18T00:00:00"/>
        <d v="2024-03-25T00:00:00"/>
        <d v="2024-03-27T00:00:00"/>
        <d v="2024-04-12T00:00:00"/>
        <d v="2024-04-19T00:00:00"/>
        <d v="2024-04-20T00:00:00"/>
        <d v="2024-04-22T00:00:00"/>
        <d v="2024-05-01T00:00:00"/>
        <d v="2024-05-07T00:00:00"/>
        <d v="2024-05-20T00:00:00"/>
        <d v="2024-05-29T00:00:00"/>
        <d v="2024-05-31T00:00:00"/>
        <d v="2024-06-03T00:00:00"/>
        <d v="2024-06-10T00:00:00"/>
        <d v="2024-06-14T00:00:00"/>
        <d v="2024-06-18T00:00:00"/>
      </sharedItems>
    </cacheField>
    <cacheField name="[Healthcare_Data].[Date (Month)].[Date (Month)]" caption="Date (Month)" numFmtId="0" hierarchy="10" level="1">
      <sharedItems count="12">
        <s v="Jan"/>
        <s v="Feb"/>
        <s v="Mar"/>
        <s v="Apr"/>
        <s v="May"/>
        <s v="Jun"/>
        <s v="Jul"/>
        <s v="Aug"/>
        <s v="Sep"/>
        <s v="Oct"/>
        <s v="Nov"/>
        <s v="Dec"/>
      </sharedItems>
    </cacheField>
    <cacheField name="[Healthcare_Data].[Date (Quarter)].[Date (Quarter)]" caption="Date (Quarter)" numFmtId="0" hierarchy="9" level="1">
      <sharedItems count="4">
        <s v="Qtr1"/>
        <s v="Qtr2"/>
        <s v="Qtr3"/>
        <s v="Qtr4"/>
      </sharedItems>
    </cacheField>
    <cacheField name="[Healthcare_Data].[Date (Year)].[Date (Year)]" caption="Date (Year)" numFmtId="0" hierarchy="8" level="1">
      <sharedItems count="3">
        <s v="2022"/>
        <s v="2023"/>
        <s v="2024"/>
      </sharedItems>
    </cacheField>
    <cacheField name="[Healthcare_Data].[Disease].[Disease]" caption="Disease" numFmtId="0" hierarchy="3" level="1">
      <sharedItems containsSemiMixedTypes="0" containsNonDate="0" containsString="0"/>
    </cacheField>
  </cacheFields>
  <cacheHierarchies count="21">
    <cacheHierarchy uniqueName="[Healthcare_Data].[Patient ID]" caption="Patient ID" attribute="1" defaultMemberUniqueName="[Healthcare_Data].[Patient ID].[All]" allUniqueName="[Healthcare_Data].[Patient ID].[All]" dimensionUniqueName="[Healthcare_Data]" displayFolder="" count="0" memberValueDatatype="130" unbalanced="0"/>
    <cacheHierarchy uniqueName="[Healthcare_Data].[Date]" caption="Date" attribute="1" time="1" defaultMemberUniqueName="[Healthcare_Data].[Date].[All]" allUniqueName="[Healthcare_Data].[Date].[All]" dimensionUniqueName="[Healthcare_Data]" displayFolder="" count="2" memberValueDatatype="7" unbalanced="0">
      <fieldsUsage count="2">
        <fieldUsage x="-1"/>
        <fieldUsage x="1"/>
      </fieldsUsage>
    </cacheHierarchy>
    <cacheHierarchy uniqueName="[Healthcare_Data].[Hospital]" caption="Hospital" attribute="1" defaultMemberUniqueName="[Healthcare_Data].[Hospital].[All]" allUniqueName="[Healthcare_Data].[Hospital].[All]" dimensionUniqueName="[Healthcare_Data]" displayFolder="" count="2" memberValueDatatype="130" unbalanced="0"/>
    <cacheHierarchy uniqueName="[Healthcare_Data].[Disease]" caption="Disease" attribute="1" defaultMemberUniqueName="[Healthcare_Data].[Disease].[All]" allUniqueName="[Healthcare_Data].[Disease].[All]" dimensionUniqueName="[Healthcare_Data]" displayFolder="" count="2" memberValueDatatype="130" unbalanced="0">
      <fieldsUsage count="2">
        <fieldUsage x="-1"/>
        <fieldUsage x="5"/>
      </fieldsUsage>
    </cacheHierarchy>
    <cacheHierarchy uniqueName="[Healthcare_Data].[Gender]" caption="Gender" attribute="1" defaultMemberUniqueName="[Healthcare_Data].[Gender].[All]" allUniqueName="[Healthcare_Data].[Gender].[All]" dimensionUniqueName="[Healthcare_Data]" displayFolder="" count="2" memberValueDatatype="130" unbalanced="0"/>
    <cacheHierarchy uniqueName="[Healthcare_Data].[Age]" caption="Age" attribute="1" defaultMemberUniqueName="[Healthcare_Data].[Age].[All]" allUniqueName="[Healthcare_Data].[Age].[All]" dimensionUniqueName="[Healthcare_Data]" displayFolder="" count="0" memberValueDatatype="20" unbalanced="0"/>
    <cacheHierarchy uniqueName="[Healthcare_Data].[Admission Type]" caption="Admission Type" attribute="1" defaultMemberUniqueName="[Healthcare_Data].[Admission Type].[All]" allUniqueName="[Healthcare_Data].[Admission Type].[All]" dimensionUniqueName="[Healthcare_Data]" displayFolder="" count="2" memberValueDatatype="130" unbalanced="0"/>
    <cacheHierarchy uniqueName="[Healthcare_Data].[Outcome]" caption="Outcome" attribute="1" defaultMemberUniqueName="[Healthcare_Data].[Outcome].[All]" allUniqueName="[Healthcare_Data].[Outcome].[All]" dimensionUniqueName="[Healthcare_Data]" displayFolder="" count="0" memberValueDatatype="130" unbalanced="0"/>
    <cacheHierarchy uniqueName="[Healthcare_Data].[Date (Year)]" caption="Date (Year)" attribute="1" defaultMemberUniqueName="[Healthcare_Data].[Date (Year)].[All]" allUniqueName="[Healthcare_Data].[Date (Year)].[All]" dimensionUniqueName="[Healthcare_Data]" displayFolder="" count="2" memberValueDatatype="130" unbalanced="0">
      <fieldsUsage count="2">
        <fieldUsage x="-1"/>
        <fieldUsage x="4"/>
      </fieldsUsage>
    </cacheHierarchy>
    <cacheHierarchy uniqueName="[Healthcare_Data].[Date (Quarter)]" caption="Date (Quarter)" attribute="1" defaultMemberUniqueName="[Healthcare_Data].[Date (Quarter)].[All]" allUniqueName="[Healthcare_Data].[Date (Quarter)].[All]" dimensionUniqueName="[Healthcare_Data]" displayFolder="" count="2" memberValueDatatype="130" unbalanced="0">
      <fieldsUsage count="2">
        <fieldUsage x="-1"/>
        <fieldUsage x="3"/>
      </fieldsUsage>
    </cacheHierarchy>
    <cacheHierarchy uniqueName="[Healthcare_Data].[Date (Month)]" caption="Date (Month)" attribute="1" defaultMemberUniqueName="[Healthcare_Data].[Date (Month)].[All]" allUniqueName="[Healthcare_Data].[Date (Month)].[All]" dimensionUniqueName="[Healthcare_Data]" displayFolder="" count="2" memberValueDatatype="130" unbalanced="0">
      <fieldsUsage count="2">
        <fieldUsage x="-1"/>
        <fieldUsage x="2"/>
      </fieldsUsage>
    </cacheHierarchy>
    <cacheHierarchy uniqueName="[Healthcare_Data].[Date (Month Index)]" caption="Date (Month Index)" attribute="1" defaultMemberUniqueName="[Healthcare_Data].[Date (Month Index)].[All]" allUniqueName="[Healthcare_Data].[Date (Month Index)].[All]" dimensionUniqueName="[Healthcare_Data]" displayFolder="" count="0" memberValueDatatype="20" unbalanced="0" hidden="1"/>
    <cacheHierarchy uniqueName="[Measures].[__XL_Count Healthcare_Data]" caption="__XL_Count Healthcare_Data" measure="1" displayFolder="" measureGroup="Healthcare_Data" count="0" hidden="1"/>
    <cacheHierarchy uniqueName="[Measures].[__No measures defined]" caption="__No measures defined" measure="1" displayFolder="" count="0" hidden="1"/>
    <cacheHierarchy uniqueName="[Measures].[Count of Patient ID]" caption="Count of Patient ID" measure="1" displayFolder="" measureGroup="Healthcare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Healthcare_Data"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Healthcare_Data" count="0" hidden="1">
      <extLst>
        <ext xmlns:x15="http://schemas.microsoft.com/office/spreadsheetml/2010/11/main" uri="{B97F6D7D-B522-45F9-BDA1-12C45D357490}">
          <x15:cacheHierarchy aggregatedColumn="5"/>
        </ext>
      </extLst>
    </cacheHierarchy>
    <cacheHierarchy uniqueName="[Measures].[Count of Hospital]" caption="Count of Hospital" measure="1" displayFolder="" measureGroup="Healthcare_Data" count="0" hidden="1">
      <extLst>
        <ext xmlns:x15="http://schemas.microsoft.com/office/spreadsheetml/2010/11/main" uri="{B97F6D7D-B522-45F9-BDA1-12C45D357490}">
          <x15:cacheHierarchy aggregatedColumn="2"/>
        </ext>
      </extLst>
    </cacheHierarchy>
    <cacheHierarchy uniqueName="[Measures].[Distinct Count of Hospital]" caption="Distinct Count of Hospital" measure="1" displayFolder="" measureGroup="Healthcare_Data" count="0" hidden="1">
      <extLst>
        <ext xmlns:x15="http://schemas.microsoft.com/office/spreadsheetml/2010/11/main" uri="{B97F6D7D-B522-45F9-BDA1-12C45D357490}">
          <x15:cacheHierarchy aggregatedColumn="2"/>
        </ext>
      </extLst>
    </cacheHierarchy>
    <cacheHierarchy uniqueName="[Measures].[Count of Disease]" caption="Count of Disease" measure="1" displayFolder="" measureGroup="Healthcare_Data" count="0" hidden="1">
      <extLst>
        <ext xmlns:x15="http://schemas.microsoft.com/office/spreadsheetml/2010/11/main" uri="{B97F6D7D-B522-45F9-BDA1-12C45D357490}">
          <x15:cacheHierarchy aggregatedColumn="3"/>
        </ext>
      </extLst>
    </cacheHierarchy>
    <cacheHierarchy uniqueName="[Measures].[Distinct Count of Disease]" caption="Distinct Count of Disease" measure="1" displayFolder="" measureGroup="Healthcare_Data" count="0" hidden="1">
      <extLst>
        <ext xmlns:x15="http://schemas.microsoft.com/office/spreadsheetml/2010/11/main" uri="{B97F6D7D-B522-45F9-BDA1-12C45D357490}">
          <x15:cacheHierarchy aggregatedColumn="3"/>
        </ext>
      </extLst>
    </cacheHierarchy>
  </cacheHierarchies>
  <kpis count="0"/>
  <dimensions count="2">
    <dimension name="Healthcare_Data" uniqueName="[Healthcare_Data]" caption="Healthcare_Data"/>
    <dimension measure="1" name="Measures" uniqueName="[Measures]" caption="Measures"/>
  </dimensions>
  <measureGroups count="1">
    <measureGroup name="Healthcare_Data" caption="Healthcar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0.430874768521" backgroundQuery="1" createdVersion="8" refreshedVersion="8" minRefreshableVersion="3" recordCount="0" supportSubquery="1" supportAdvancedDrill="1" xr:uid="{8249CABF-696A-402A-BB21-837EA3900C34}">
  <cacheSource type="external" connectionId="2"/>
  <cacheFields count="3">
    <cacheField name="[Healthcare_Data].[Gender].[Gender]" caption="Gender" numFmtId="0" hierarchy="4" level="1">
      <sharedItems count="2">
        <s v="Female"/>
        <s v="Male"/>
      </sharedItems>
    </cacheField>
    <cacheField name="[Measures].[Count of Patient ID]" caption="Count of Patient ID" numFmtId="0" hierarchy="14" level="32767"/>
    <cacheField name="[Healthcare_Data].[Disease].[Disease]" caption="Disease" numFmtId="0" hierarchy="3" level="1">
      <sharedItems containsSemiMixedTypes="0" containsNonDate="0" containsString="0"/>
    </cacheField>
  </cacheFields>
  <cacheHierarchies count="21">
    <cacheHierarchy uniqueName="[Healthcare_Data].[Patient ID]" caption="Patient ID" attribute="1" defaultMemberUniqueName="[Healthcare_Data].[Patient ID].[All]" allUniqueName="[Healthcare_Data].[Patient ID].[All]" dimensionUniqueName="[Healthcare_Data]" displayFolder="" count="0" memberValueDatatype="130" unbalanced="0"/>
    <cacheHierarchy uniqueName="[Healthcare_Data].[Date]" caption="Date" attribute="1" time="1" defaultMemberUniqueName="[Healthcare_Data].[Date].[All]" allUniqueName="[Healthcare_Data].[Date].[All]" dimensionUniqueName="[Healthcare_Data]" displayFolder="" count="2" memberValueDatatype="7" unbalanced="0"/>
    <cacheHierarchy uniqueName="[Healthcare_Data].[Hospital]" caption="Hospital" attribute="1" defaultMemberUniqueName="[Healthcare_Data].[Hospital].[All]" allUniqueName="[Healthcare_Data].[Hospital].[All]" dimensionUniqueName="[Healthcare_Data]" displayFolder="" count="2" memberValueDatatype="130" unbalanced="0"/>
    <cacheHierarchy uniqueName="[Healthcare_Data].[Disease]" caption="Disease" attribute="1" defaultMemberUniqueName="[Healthcare_Data].[Disease].[All]" allUniqueName="[Healthcare_Data].[Disease].[All]" dimensionUniqueName="[Healthcare_Data]" displayFolder="" count="2" memberValueDatatype="130" unbalanced="0">
      <fieldsUsage count="2">
        <fieldUsage x="-1"/>
        <fieldUsage x="2"/>
      </fieldsUsage>
    </cacheHierarchy>
    <cacheHierarchy uniqueName="[Healthcare_Data].[Gender]" caption="Gender" attribute="1" defaultMemberUniqueName="[Healthcare_Data].[Gender].[All]" allUniqueName="[Healthcare_Data].[Gender].[All]" dimensionUniqueName="[Healthcare_Data]" displayFolder="" count="2" memberValueDatatype="130" unbalanced="0">
      <fieldsUsage count="2">
        <fieldUsage x="-1"/>
        <fieldUsage x="0"/>
      </fieldsUsage>
    </cacheHierarchy>
    <cacheHierarchy uniqueName="[Healthcare_Data].[Age]" caption="Age" attribute="1" defaultMemberUniqueName="[Healthcare_Data].[Age].[All]" allUniqueName="[Healthcare_Data].[Age].[All]" dimensionUniqueName="[Healthcare_Data]" displayFolder="" count="0" memberValueDatatype="20" unbalanced="0"/>
    <cacheHierarchy uniqueName="[Healthcare_Data].[Admission Type]" caption="Admission Type" attribute="1" defaultMemberUniqueName="[Healthcare_Data].[Admission Type].[All]" allUniqueName="[Healthcare_Data].[Admission Type].[All]" dimensionUniqueName="[Healthcare_Data]" displayFolder="" count="2" memberValueDatatype="130" unbalanced="0"/>
    <cacheHierarchy uniqueName="[Healthcare_Data].[Outcome]" caption="Outcome" attribute="1" defaultMemberUniqueName="[Healthcare_Data].[Outcome].[All]" allUniqueName="[Healthcare_Data].[Outcome].[All]" dimensionUniqueName="[Healthcare_Data]" displayFolder="" count="0" memberValueDatatype="130" unbalanced="0"/>
    <cacheHierarchy uniqueName="[Healthcare_Data].[Date (Year)]" caption="Date (Year)" attribute="1" defaultMemberUniqueName="[Healthcare_Data].[Date (Year)].[All]" allUniqueName="[Healthcare_Data].[Date (Year)].[All]" dimensionUniqueName="[Healthcare_Data]" displayFolder="" count="2" memberValueDatatype="130" unbalanced="0"/>
    <cacheHierarchy uniqueName="[Healthcare_Data].[Date (Quarter)]" caption="Date (Quarter)" attribute="1" defaultMemberUniqueName="[Healthcare_Data].[Date (Quarter)].[All]" allUniqueName="[Healthcare_Data].[Date (Quarter)].[All]" dimensionUniqueName="[Healthcare_Data]" displayFolder="" count="2" memberValueDatatype="130" unbalanced="0"/>
    <cacheHierarchy uniqueName="[Healthcare_Data].[Date (Month)]" caption="Date (Month)" attribute="1" defaultMemberUniqueName="[Healthcare_Data].[Date (Month)].[All]" allUniqueName="[Healthcare_Data].[Date (Month)].[All]" dimensionUniqueName="[Healthcare_Data]" displayFolder="" count="2" memberValueDatatype="130" unbalanced="0"/>
    <cacheHierarchy uniqueName="[Healthcare_Data].[Date (Month Index)]" caption="Date (Month Index)" attribute="1" defaultMemberUniqueName="[Healthcare_Data].[Date (Month Index)].[All]" allUniqueName="[Healthcare_Data].[Date (Month Index)].[All]" dimensionUniqueName="[Healthcare_Data]" displayFolder="" count="0" memberValueDatatype="20" unbalanced="0" hidden="1"/>
    <cacheHierarchy uniqueName="[Measures].[__XL_Count Healthcare_Data]" caption="__XL_Count Healthcare_Data" measure="1" displayFolder="" measureGroup="Healthcare_Data" count="0" hidden="1"/>
    <cacheHierarchy uniqueName="[Measures].[__No measures defined]" caption="__No measures defined" measure="1" displayFolder="" count="0" hidden="1"/>
    <cacheHierarchy uniqueName="[Measures].[Count of Patient ID]" caption="Count of Patient ID" measure="1" displayFolder="" measureGroup="Healthcare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Healthcare_Data"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Healthcare_Data" count="0" hidden="1">
      <extLst>
        <ext xmlns:x15="http://schemas.microsoft.com/office/spreadsheetml/2010/11/main" uri="{B97F6D7D-B522-45F9-BDA1-12C45D357490}">
          <x15:cacheHierarchy aggregatedColumn="5"/>
        </ext>
      </extLst>
    </cacheHierarchy>
    <cacheHierarchy uniqueName="[Measures].[Count of Hospital]" caption="Count of Hospital" measure="1" displayFolder="" measureGroup="Healthcare_Data" count="0" hidden="1">
      <extLst>
        <ext xmlns:x15="http://schemas.microsoft.com/office/spreadsheetml/2010/11/main" uri="{B97F6D7D-B522-45F9-BDA1-12C45D357490}">
          <x15:cacheHierarchy aggregatedColumn="2"/>
        </ext>
      </extLst>
    </cacheHierarchy>
    <cacheHierarchy uniqueName="[Measures].[Distinct Count of Hospital]" caption="Distinct Count of Hospital" measure="1" displayFolder="" measureGroup="Healthcare_Data" count="0" hidden="1">
      <extLst>
        <ext xmlns:x15="http://schemas.microsoft.com/office/spreadsheetml/2010/11/main" uri="{B97F6D7D-B522-45F9-BDA1-12C45D357490}">
          <x15:cacheHierarchy aggregatedColumn="2"/>
        </ext>
      </extLst>
    </cacheHierarchy>
    <cacheHierarchy uniqueName="[Measures].[Count of Disease]" caption="Count of Disease" measure="1" displayFolder="" measureGroup="Healthcare_Data" count="0" hidden="1">
      <extLst>
        <ext xmlns:x15="http://schemas.microsoft.com/office/spreadsheetml/2010/11/main" uri="{B97F6D7D-B522-45F9-BDA1-12C45D357490}">
          <x15:cacheHierarchy aggregatedColumn="3"/>
        </ext>
      </extLst>
    </cacheHierarchy>
    <cacheHierarchy uniqueName="[Measures].[Distinct Count of Disease]" caption="Distinct Count of Disease" measure="1" displayFolder="" measureGroup="Healthcare_Data" count="0" hidden="1">
      <extLst>
        <ext xmlns:x15="http://schemas.microsoft.com/office/spreadsheetml/2010/11/main" uri="{B97F6D7D-B522-45F9-BDA1-12C45D357490}">
          <x15:cacheHierarchy aggregatedColumn="3"/>
        </ext>
      </extLst>
    </cacheHierarchy>
  </cacheHierarchies>
  <kpis count="0"/>
  <dimensions count="2">
    <dimension name="Healthcare_Data" uniqueName="[Healthcare_Data]" caption="Healthcare_Data"/>
    <dimension measure="1" name="Measures" uniqueName="[Measures]" caption="Measures"/>
  </dimensions>
  <measureGroups count="1">
    <measureGroup name="Healthcare_Data" caption="Healthcar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0.430875231483" backgroundQuery="1" createdVersion="8" refreshedVersion="8" minRefreshableVersion="3" recordCount="0" supportSubquery="1" supportAdvancedDrill="1" xr:uid="{AD9699D8-220F-4F0E-9A79-AF270A5D4B1C}">
  <cacheSource type="external" connectionId="2"/>
  <cacheFields count="3">
    <cacheField name="[Healthcare_Data].[Outcome].[Outcome]" caption="Outcome" numFmtId="0" hierarchy="7" level="1">
      <sharedItems count="3">
        <s v="Deceased"/>
        <s v="Recovered"/>
        <s v="Under Treatment"/>
      </sharedItems>
    </cacheField>
    <cacheField name="[Measures].[Count of Patient ID]" caption="Count of Patient ID" numFmtId="0" hierarchy="14" level="32767"/>
    <cacheField name="[Healthcare_Data].[Disease].[Disease]" caption="Disease" numFmtId="0" hierarchy="3" level="1">
      <sharedItems containsSemiMixedTypes="0" containsNonDate="0" containsString="0"/>
    </cacheField>
  </cacheFields>
  <cacheHierarchies count="21">
    <cacheHierarchy uniqueName="[Healthcare_Data].[Patient ID]" caption="Patient ID" attribute="1" defaultMemberUniqueName="[Healthcare_Data].[Patient ID].[All]" allUniqueName="[Healthcare_Data].[Patient ID].[All]" dimensionUniqueName="[Healthcare_Data]" displayFolder="" count="2" memberValueDatatype="130" unbalanced="0"/>
    <cacheHierarchy uniqueName="[Healthcare_Data].[Date]" caption="Date" attribute="1" time="1" defaultMemberUniqueName="[Healthcare_Data].[Date].[All]" allUniqueName="[Healthcare_Data].[Date].[All]" dimensionUniqueName="[Healthcare_Data]" displayFolder="" count="2" memberValueDatatype="7" unbalanced="0"/>
    <cacheHierarchy uniqueName="[Healthcare_Data].[Hospital]" caption="Hospital" attribute="1" defaultMemberUniqueName="[Healthcare_Data].[Hospital].[All]" allUniqueName="[Healthcare_Data].[Hospital].[All]" dimensionUniqueName="[Healthcare_Data]" displayFolder="" count="2" memberValueDatatype="130" unbalanced="0"/>
    <cacheHierarchy uniqueName="[Healthcare_Data].[Disease]" caption="Disease" attribute="1" defaultMemberUniqueName="[Healthcare_Data].[Disease].[All]" allUniqueName="[Healthcare_Data].[Disease].[All]" dimensionUniqueName="[Healthcare_Data]" displayFolder="" count="2" memberValueDatatype="130" unbalanced="0">
      <fieldsUsage count="2">
        <fieldUsage x="-1"/>
        <fieldUsage x="2"/>
      </fieldsUsage>
    </cacheHierarchy>
    <cacheHierarchy uniqueName="[Healthcare_Data].[Gender]" caption="Gender" attribute="1" defaultMemberUniqueName="[Healthcare_Data].[Gender].[All]" allUniqueName="[Healthcare_Data].[Gender].[All]" dimensionUniqueName="[Healthcare_Data]" displayFolder="" count="2" memberValueDatatype="130" unbalanced="0"/>
    <cacheHierarchy uniqueName="[Healthcare_Data].[Age]" caption="Age" attribute="1" defaultMemberUniqueName="[Healthcare_Data].[Age].[All]" allUniqueName="[Healthcare_Data].[Age].[All]" dimensionUniqueName="[Healthcare_Data]" displayFolder="" count="2" memberValueDatatype="20" unbalanced="0"/>
    <cacheHierarchy uniqueName="[Healthcare_Data].[Admission Type]" caption="Admission Type" attribute="1" defaultMemberUniqueName="[Healthcare_Data].[Admission Type].[All]" allUniqueName="[Healthcare_Data].[Admission Type].[All]" dimensionUniqueName="[Healthcare_Data]" displayFolder="" count="2" memberValueDatatype="130" unbalanced="0"/>
    <cacheHierarchy uniqueName="[Healthcare_Data].[Outcome]" caption="Outcome" attribute="1" defaultMemberUniqueName="[Healthcare_Data].[Outcome].[All]" allUniqueName="[Healthcare_Data].[Outcome].[All]" dimensionUniqueName="[Healthcare_Data]" displayFolder="" count="2" memberValueDatatype="130" unbalanced="0">
      <fieldsUsage count="2">
        <fieldUsage x="-1"/>
        <fieldUsage x="0"/>
      </fieldsUsage>
    </cacheHierarchy>
    <cacheHierarchy uniqueName="[Healthcare_Data].[Date (Year)]" caption="Date (Year)" attribute="1" defaultMemberUniqueName="[Healthcare_Data].[Date (Year)].[All]" allUniqueName="[Healthcare_Data].[Date (Year)].[All]" dimensionUniqueName="[Healthcare_Data]" displayFolder="" count="2" memberValueDatatype="130" unbalanced="0"/>
    <cacheHierarchy uniqueName="[Healthcare_Data].[Date (Quarter)]" caption="Date (Quarter)" attribute="1" defaultMemberUniqueName="[Healthcare_Data].[Date (Quarter)].[All]" allUniqueName="[Healthcare_Data].[Date (Quarter)].[All]" dimensionUniqueName="[Healthcare_Data]" displayFolder="" count="2" memberValueDatatype="130" unbalanced="0"/>
    <cacheHierarchy uniqueName="[Healthcare_Data].[Date (Month)]" caption="Date (Month)" attribute="1" defaultMemberUniqueName="[Healthcare_Data].[Date (Month)].[All]" allUniqueName="[Healthcare_Data].[Date (Month)].[All]" dimensionUniqueName="[Healthcare_Data]" displayFolder="" count="2" memberValueDatatype="130" unbalanced="0"/>
    <cacheHierarchy uniqueName="[Healthcare_Data].[Date (Month Index)]" caption="Date (Month Index)" attribute="1" defaultMemberUniqueName="[Healthcare_Data].[Date (Month Index)].[All]" allUniqueName="[Healthcare_Data].[Date (Month Index)].[All]" dimensionUniqueName="[Healthcare_Data]" displayFolder="" count="2" memberValueDatatype="20" unbalanced="0" hidden="1"/>
    <cacheHierarchy uniqueName="[Measures].[__XL_Count Healthcare_Data]" caption="__XL_Count Healthcare_Data" measure="1" displayFolder="" measureGroup="Healthcare_Data" count="0" hidden="1"/>
    <cacheHierarchy uniqueName="[Measures].[__No measures defined]" caption="__No measures defined" measure="1" displayFolder="" count="0" hidden="1"/>
    <cacheHierarchy uniqueName="[Measures].[Count of Patient ID]" caption="Count of Patient ID" measure="1" displayFolder="" measureGroup="Healthcare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Healthcare_Data"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Healthcare_Data" count="0" hidden="1">
      <extLst>
        <ext xmlns:x15="http://schemas.microsoft.com/office/spreadsheetml/2010/11/main" uri="{B97F6D7D-B522-45F9-BDA1-12C45D357490}">
          <x15:cacheHierarchy aggregatedColumn="5"/>
        </ext>
      </extLst>
    </cacheHierarchy>
    <cacheHierarchy uniqueName="[Measures].[Count of Hospital]" caption="Count of Hospital" measure="1" displayFolder="" measureGroup="Healthcare_Data" count="0" hidden="1">
      <extLst>
        <ext xmlns:x15="http://schemas.microsoft.com/office/spreadsheetml/2010/11/main" uri="{B97F6D7D-B522-45F9-BDA1-12C45D357490}">
          <x15:cacheHierarchy aggregatedColumn="2"/>
        </ext>
      </extLst>
    </cacheHierarchy>
    <cacheHierarchy uniqueName="[Measures].[Distinct Count of Hospital]" caption="Distinct Count of Hospital" measure="1" displayFolder="" measureGroup="Healthcare_Data" count="0" hidden="1">
      <extLst>
        <ext xmlns:x15="http://schemas.microsoft.com/office/spreadsheetml/2010/11/main" uri="{B97F6D7D-B522-45F9-BDA1-12C45D357490}">
          <x15:cacheHierarchy aggregatedColumn="2"/>
        </ext>
      </extLst>
    </cacheHierarchy>
    <cacheHierarchy uniqueName="[Measures].[Count of Disease]" caption="Count of Disease" measure="1" displayFolder="" measureGroup="Healthcare_Data" count="0" hidden="1">
      <extLst>
        <ext xmlns:x15="http://schemas.microsoft.com/office/spreadsheetml/2010/11/main" uri="{B97F6D7D-B522-45F9-BDA1-12C45D357490}">
          <x15:cacheHierarchy aggregatedColumn="3"/>
        </ext>
      </extLst>
    </cacheHierarchy>
    <cacheHierarchy uniqueName="[Measures].[Distinct Count of Disease]" caption="Distinct Count of Disease" measure="1" displayFolder="" measureGroup="Healthcare_Data" count="0" hidden="1">
      <extLst>
        <ext xmlns:x15="http://schemas.microsoft.com/office/spreadsheetml/2010/11/main" uri="{B97F6D7D-B522-45F9-BDA1-12C45D357490}">
          <x15:cacheHierarchy aggregatedColumn="3"/>
        </ext>
      </extLst>
    </cacheHierarchy>
  </cacheHierarchies>
  <kpis count="0"/>
  <dimensions count="2">
    <dimension name="Healthcare_Data" uniqueName="[Healthcare_Data]" caption="Healthcare_Data"/>
    <dimension measure="1" name="Measures" uniqueName="[Measures]" caption="Measures"/>
  </dimensions>
  <measureGroups count="1">
    <measureGroup name="Healthcare_Data" caption="Healthcar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0.43087546296" backgroundQuery="1" createdVersion="8" refreshedVersion="8" minRefreshableVersion="3" recordCount="0" supportSubquery="1" supportAdvancedDrill="1" xr:uid="{FE055BA1-3721-4FFA-A2F5-1296FF93177E}">
  <cacheSource type="external" connectionId="2"/>
  <cacheFields count="2">
    <cacheField name="[Measures].[Count of Patient ID]" caption="Count of Patient ID" numFmtId="0" hierarchy="14" level="32767"/>
    <cacheField name="[Healthcare_Data].[Disease].[Disease]" caption="Disease" numFmtId="0" hierarchy="3" level="1">
      <sharedItems containsSemiMixedTypes="0" containsNonDate="0" containsString="0"/>
    </cacheField>
  </cacheFields>
  <cacheHierarchies count="21">
    <cacheHierarchy uniqueName="[Healthcare_Data].[Patient ID]" caption="Patient ID" attribute="1" defaultMemberUniqueName="[Healthcare_Data].[Patient ID].[All]" allUniqueName="[Healthcare_Data].[Patient ID].[All]" dimensionUniqueName="[Healthcare_Data]" displayFolder="" count="0" memberValueDatatype="130" unbalanced="0"/>
    <cacheHierarchy uniqueName="[Healthcare_Data].[Date]" caption="Date" attribute="1" time="1" defaultMemberUniqueName="[Healthcare_Data].[Date].[All]" allUniqueName="[Healthcare_Data].[Date].[All]" dimensionUniqueName="[Healthcare_Data]" displayFolder="" count="0" memberValueDatatype="7" unbalanced="0"/>
    <cacheHierarchy uniqueName="[Healthcare_Data].[Hospital]" caption="Hospital" attribute="1" defaultMemberUniqueName="[Healthcare_Data].[Hospital].[All]" allUniqueName="[Healthcare_Data].[Hospital].[All]" dimensionUniqueName="[Healthcare_Data]" displayFolder="" count="2" memberValueDatatype="130" unbalanced="0"/>
    <cacheHierarchy uniqueName="[Healthcare_Data].[Disease]" caption="Disease" attribute="1" defaultMemberUniqueName="[Healthcare_Data].[Disease].[All]" allUniqueName="[Healthcare_Data].[Disease].[All]" dimensionUniqueName="[Healthcare_Data]" displayFolder="" count="2" memberValueDatatype="130" unbalanced="0">
      <fieldsUsage count="2">
        <fieldUsage x="-1"/>
        <fieldUsage x="1"/>
      </fieldsUsage>
    </cacheHierarchy>
    <cacheHierarchy uniqueName="[Healthcare_Data].[Gender]" caption="Gender" attribute="1" defaultMemberUniqueName="[Healthcare_Data].[Gender].[All]" allUniqueName="[Healthcare_Data].[Gender].[All]" dimensionUniqueName="[Healthcare_Data]" displayFolder="" count="2" memberValueDatatype="130" unbalanced="0"/>
    <cacheHierarchy uniqueName="[Healthcare_Data].[Age]" caption="Age" attribute="1" defaultMemberUniqueName="[Healthcare_Data].[Age].[All]" allUniqueName="[Healthcare_Data].[Age].[All]" dimensionUniqueName="[Healthcare_Data]" displayFolder="" count="0" memberValueDatatype="20" unbalanced="0"/>
    <cacheHierarchy uniqueName="[Healthcare_Data].[Admission Type]" caption="Admission Type" attribute="1" defaultMemberUniqueName="[Healthcare_Data].[Admission Type].[All]" allUniqueName="[Healthcare_Data].[Admission Type].[All]" dimensionUniqueName="[Healthcare_Data]" displayFolder="" count="2" memberValueDatatype="130" unbalanced="0"/>
    <cacheHierarchy uniqueName="[Healthcare_Data].[Outcome]" caption="Outcome" attribute="1" defaultMemberUniqueName="[Healthcare_Data].[Outcome].[All]" allUniqueName="[Healthcare_Data].[Outcome].[All]" dimensionUniqueName="[Healthcare_Data]" displayFolder="" count="0" memberValueDatatype="130" unbalanced="0"/>
    <cacheHierarchy uniqueName="[Healthcare_Data].[Date (Year)]" caption="Date (Year)" attribute="1" defaultMemberUniqueName="[Healthcare_Data].[Date (Year)].[All]" allUniqueName="[Healthcare_Data].[Date (Year)].[All]" dimensionUniqueName="[Healthcare_Data]" displayFolder="" count="0" memberValueDatatype="130" unbalanced="0"/>
    <cacheHierarchy uniqueName="[Healthcare_Data].[Date (Quarter)]" caption="Date (Quarter)" attribute="1" defaultMemberUniqueName="[Healthcare_Data].[Date (Quarter)].[All]" allUniqueName="[Healthcare_Data].[Date (Quarter)].[All]" dimensionUniqueName="[Healthcare_Data]" displayFolder="" count="0" memberValueDatatype="130" unbalanced="0"/>
    <cacheHierarchy uniqueName="[Healthcare_Data].[Date (Month)]" caption="Date (Month)" attribute="1" defaultMemberUniqueName="[Healthcare_Data].[Date (Month)].[All]" allUniqueName="[Healthcare_Data].[Date (Month)].[All]" dimensionUniqueName="[Healthcare_Data]" displayFolder="" count="0" memberValueDatatype="130" unbalanced="0"/>
    <cacheHierarchy uniqueName="[Healthcare_Data].[Date (Month Index)]" caption="Date (Month Index)" attribute="1" defaultMemberUniqueName="[Healthcare_Data].[Date (Month Index)].[All]" allUniqueName="[Healthcare_Data].[Date (Month Index)].[All]" dimensionUniqueName="[Healthcare_Data]" displayFolder="" count="0" memberValueDatatype="20" unbalanced="0" hidden="1"/>
    <cacheHierarchy uniqueName="[Measures].[__XL_Count Healthcare_Data]" caption="__XL_Count Healthcare_Data" measure="1" displayFolder="" measureGroup="Healthcare_Data" count="0" hidden="1"/>
    <cacheHierarchy uniqueName="[Measures].[__No measures defined]" caption="__No measures defined" measure="1" displayFolder="" count="0" hidden="1"/>
    <cacheHierarchy uniqueName="[Measures].[Count of Patient ID]" caption="Count of Patient ID" measure="1" displayFolder="" measureGroup="Healthcare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Healthcare_Data"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Healthcare_Data" count="0" hidden="1">
      <extLst>
        <ext xmlns:x15="http://schemas.microsoft.com/office/spreadsheetml/2010/11/main" uri="{B97F6D7D-B522-45F9-BDA1-12C45D357490}">
          <x15:cacheHierarchy aggregatedColumn="5"/>
        </ext>
      </extLst>
    </cacheHierarchy>
    <cacheHierarchy uniqueName="[Measures].[Count of Hospital]" caption="Count of Hospital" measure="1" displayFolder="" measureGroup="Healthcare_Data" count="0" hidden="1">
      <extLst>
        <ext xmlns:x15="http://schemas.microsoft.com/office/spreadsheetml/2010/11/main" uri="{B97F6D7D-B522-45F9-BDA1-12C45D357490}">
          <x15:cacheHierarchy aggregatedColumn="2"/>
        </ext>
      </extLst>
    </cacheHierarchy>
    <cacheHierarchy uniqueName="[Measures].[Distinct Count of Hospital]" caption="Distinct Count of Hospital" measure="1" displayFolder="" measureGroup="Healthcare_Data" count="0" hidden="1">
      <extLst>
        <ext xmlns:x15="http://schemas.microsoft.com/office/spreadsheetml/2010/11/main" uri="{B97F6D7D-B522-45F9-BDA1-12C45D357490}">
          <x15:cacheHierarchy aggregatedColumn="2"/>
        </ext>
      </extLst>
    </cacheHierarchy>
    <cacheHierarchy uniqueName="[Measures].[Count of Disease]" caption="Count of Disease" measure="1" displayFolder="" measureGroup="Healthcare_Data" count="0" hidden="1">
      <extLst>
        <ext xmlns:x15="http://schemas.microsoft.com/office/spreadsheetml/2010/11/main" uri="{B97F6D7D-B522-45F9-BDA1-12C45D357490}">
          <x15:cacheHierarchy aggregatedColumn="3"/>
        </ext>
      </extLst>
    </cacheHierarchy>
    <cacheHierarchy uniqueName="[Measures].[Distinct Count of Disease]" caption="Distinct Count of Disease" measure="1" displayFolder="" measureGroup="Healthcare_Data" count="0" hidden="1">
      <extLst>
        <ext xmlns:x15="http://schemas.microsoft.com/office/spreadsheetml/2010/11/main" uri="{B97F6D7D-B522-45F9-BDA1-12C45D357490}">
          <x15:cacheHierarchy aggregatedColumn="3"/>
        </ext>
      </extLst>
    </cacheHierarchy>
  </cacheHierarchies>
  <kpis count="0"/>
  <dimensions count="2">
    <dimension name="Healthcare_Data" uniqueName="[Healthcare_Data]" caption="Healthcare_Data"/>
    <dimension measure="1" name="Measures" uniqueName="[Measures]" caption="Measures"/>
  </dimensions>
  <measureGroups count="1">
    <measureGroup name="Healthcare_Data" caption="Healthcar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0.430875694445" backgroundQuery="1" createdVersion="8" refreshedVersion="8" minRefreshableVersion="3" recordCount="0" supportSubquery="1" supportAdvancedDrill="1" xr:uid="{9C5FAF7B-7B23-4585-BDFC-6108CE4F3D46}">
  <cacheSource type="external" connectionId="2"/>
  <cacheFields count="2">
    <cacheField name="[Measures].[Average of Age]" caption="Average of Age" numFmtId="0" hierarchy="16" level="32767"/>
    <cacheField name="[Healthcare_Data].[Disease].[Disease]" caption="Disease" numFmtId="0" hierarchy="3" level="1">
      <sharedItems containsSemiMixedTypes="0" containsNonDate="0" containsString="0"/>
    </cacheField>
  </cacheFields>
  <cacheHierarchies count="21">
    <cacheHierarchy uniqueName="[Healthcare_Data].[Patient ID]" caption="Patient ID" attribute="1" defaultMemberUniqueName="[Healthcare_Data].[Patient ID].[All]" allUniqueName="[Healthcare_Data].[Patient ID].[All]" dimensionUniqueName="[Healthcare_Data]" displayFolder="" count="0" memberValueDatatype="130" unbalanced="0"/>
    <cacheHierarchy uniqueName="[Healthcare_Data].[Date]" caption="Date" attribute="1" time="1" defaultMemberUniqueName="[Healthcare_Data].[Date].[All]" allUniqueName="[Healthcare_Data].[Date].[All]" dimensionUniqueName="[Healthcare_Data]" displayFolder="" count="0" memberValueDatatype="7" unbalanced="0"/>
    <cacheHierarchy uniqueName="[Healthcare_Data].[Hospital]" caption="Hospital" attribute="1" defaultMemberUniqueName="[Healthcare_Data].[Hospital].[All]" allUniqueName="[Healthcare_Data].[Hospital].[All]" dimensionUniqueName="[Healthcare_Data]" displayFolder="" count="2" memberValueDatatype="130" unbalanced="0"/>
    <cacheHierarchy uniqueName="[Healthcare_Data].[Disease]" caption="Disease" attribute="1" defaultMemberUniqueName="[Healthcare_Data].[Disease].[All]" allUniqueName="[Healthcare_Data].[Disease].[All]" dimensionUniqueName="[Healthcare_Data]" displayFolder="" count="2" memberValueDatatype="130" unbalanced="0">
      <fieldsUsage count="2">
        <fieldUsage x="-1"/>
        <fieldUsage x="1"/>
      </fieldsUsage>
    </cacheHierarchy>
    <cacheHierarchy uniqueName="[Healthcare_Data].[Gender]" caption="Gender" attribute="1" defaultMemberUniqueName="[Healthcare_Data].[Gender].[All]" allUniqueName="[Healthcare_Data].[Gender].[All]" dimensionUniqueName="[Healthcare_Data]" displayFolder="" count="2" memberValueDatatype="130" unbalanced="0"/>
    <cacheHierarchy uniqueName="[Healthcare_Data].[Age]" caption="Age" attribute="1" defaultMemberUniqueName="[Healthcare_Data].[Age].[All]" allUniqueName="[Healthcare_Data].[Age].[All]" dimensionUniqueName="[Healthcare_Data]" displayFolder="" count="0" memberValueDatatype="20" unbalanced="0"/>
    <cacheHierarchy uniqueName="[Healthcare_Data].[Admission Type]" caption="Admission Type" attribute="1" defaultMemberUniqueName="[Healthcare_Data].[Admission Type].[All]" allUniqueName="[Healthcare_Data].[Admission Type].[All]" dimensionUniqueName="[Healthcare_Data]" displayFolder="" count="2" memberValueDatatype="130" unbalanced="0"/>
    <cacheHierarchy uniqueName="[Healthcare_Data].[Outcome]" caption="Outcome" attribute="1" defaultMemberUniqueName="[Healthcare_Data].[Outcome].[All]" allUniqueName="[Healthcare_Data].[Outcome].[All]" dimensionUniqueName="[Healthcare_Data]" displayFolder="" count="0" memberValueDatatype="130" unbalanced="0"/>
    <cacheHierarchy uniqueName="[Healthcare_Data].[Date (Year)]" caption="Date (Year)" attribute="1" defaultMemberUniqueName="[Healthcare_Data].[Date (Year)].[All]" allUniqueName="[Healthcare_Data].[Date (Year)].[All]" dimensionUniqueName="[Healthcare_Data]" displayFolder="" count="0" memberValueDatatype="130" unbalanced="0"/>
    <cacheHierarchy uniqueName="[Healthcare_Data].[Date (Quarter)]" caption="Date (Quarter)" attribute="1" defaultMemberUniqueName="[Healthcare_Data].[Date (Quarter)].[All]" allUniqueName="[Healthcare_Data].[Date (Quarter)].[All]" dimensionUniqueName="[Healthcare_Data]" displayFolder="" count="0" memberValueDatatype="130" unbalanced="0"/>
    <cacheHierarchy uniqueName="[Healthcare_Data].[Date (Month)]" caption="Date (Month)" attribute="1" defaultMemberUniqueName="[Healthcare_Data].[Date (Month)].[All]" allUniqueName="[Healthcare_Data].[Date (Month)].[All]" dimensionUniqueName="[Healthcare_Data]" displayFolder="" count="0" memberValueDatatype="130" unbalanced="0"/>
    <cacheHierarchy uniqueName="[Healthcare_Data].[Date (Month Index)]" caption="Date (Month Index)" attribute="1" defaultMemberUniqueName="[Healthcare_Data].[Date (Month Index)].[All]" allUniqueName="[Healthcare_Data].[Date (Month Index)].[All]" dimensionUniqueName="[Healthcare_Data]" displayFolder="" count="0" memberValueDatatype="20" unbalanced="0" hidden="1"/>
    <cacheHierarchy uniqueName="[Measures].[__XL_Count Healthcare_Data]" caption="__XL_Count Healthcare_Data" measure="1" displayFolder="" measureGroup="Healthcare_Data" count="0" hidden="1"/>
    <cacheHierarchy uniqueName="[Measures].[__No measures defined]" caption="__No measures defined" measure="1" displayFolder="" count="0" hidden="1"/>
    <cacheHierarchy uniqueName="[Measures].[Count of Patient ID]" caption="Count of Patient ID" measure="1" displayFolder="" measureGroup="Healthcare_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ealthcare_Data"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Healthcare_Data"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Hospital]" caption="Count of Hospital" measure="1" displayFolder="" measureGroup="Healthcare_Data" count="0" hidden="1">
      <extLst>
        <ext xmlns:x15="http://schemas.microsoft.com/office/spreadsheetml/2010/11/main" uri="{B97F6D7D-B522-45F9-BDA1-12C45D357490}">
          <x15:cacheHierarchy aggregatedColumn="2"/>
        </ext>
      </extLst>
    </cacheHierarchy>
    <cacheHierarchy uniqueName="[Measures].[Distinct Count of Hospital]" caption="Distinct Count of Hospital" measure="1" displayFolder="" measureGroup="Healthcare_Data" count="0" hidden="1">
      <extLst>
        <ext xmlns:x15="http://schemas.microsoft.com/office/spreadsheetml/2010/11/main" uri="{B97F6D7D-B522-45F9-BDA1-12C45D357490}">
          <x15:cacheHierarchy aggregatedColumn="2"/>
        </ext>
      </extLst>
    </cacheHierarchy>
    <cacheHierarchy uniqueName="[Measures].[Count of Disease]" caption="Count of Disease" measure="1" displayFolder="" measureGroup="Healthcare_Data" count="0" hidden="1">
      <extLst>
        <ext xmlns:x15="http://schemas.microsoft.com/office/spreadsheetml/2010/11/main" uri="{B97F6D7D-B522-45F9-BDA1-12C45D357490}">
          <x15:cacheHierarchy aggregatedColumn="3"/>
        </ext>
      </extLst>
    </cacheHierarchy>
    <cacheHierarchy uniqueName="[Measures].[Distinct Count of Disease]" caption="Distinct Count of Disease" measure="1" displayFolder="" measureGroup="Healthcare_Data" count="0" hidden="1">
      <extLst>
        <ext xmlns:x15="http://schemas.microsoft.com/office/spreadsheetml/2010/11/main" uri="{B97F6D7D-B522-45F9-BDA1-12C45D357490}">
          <x15:cacheHierarchy aggregatedColumn="3"/>
        </ext>
      </extLst>
    </cacheHierarchy>
  </cacheHierarchies>
  <kpis count="0"/>
  <dimensions count="2">
    <dimension name="Healthcare_Data" uniqueName="[Healthcare_Data]" caption="Healthcare_Data"/>
    <dimension measure="1" name="Measures" uniqueName="[Measures]" caption="Measures"/>
  </dimensions>
  <measureGroups count="1">
    <measureGroup name="Healthcare_Data" caption="Healthcar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0.430875925929" backgroundQuery="1" createdVersion="8" refreshedVersion="8" minRefreshableVersion="3" recordCount="0" supportSubquery="1" supportAdvancedDrill="1" xr:uid="{ED4BC181-0F92-4F5B-9205-72B962ABCE75}">
  <cacheSource type="external" connectionId="2"/>
  <cacheFields count="2">
    <cacheField name="[Measures].[Distinct Count of Hospital]" caption="Distinct Count of Hospital" numFmtId="0" hierarchy="18" level="32767"/>
    <cacheField name="[Healthcare_Data].[Disease].[Disease]" caption="Disease" numFmtId="0" hierarchy="3" level="1">
      <sharedItems containsSemiMixedTypes="0" containsNonDate="0" containsString="0"/>
    </cacheField>
  </cacheFields>
  <cacheHierarchies count="21">
    <cacheHierarchy uniqueName="[Healthcare_Data].[Patient ID]" caption="Patient ID" attribute="1" defaultMemberUniqueName="[Healthcare_Data].[Patient ID].[All]" allUniqueName="[Healthcare_Data].[Patient ID].[All]" dimensionUniqueName="[Healthcare_Data]" displayFolder="" count="0" memberValueDatatype="130" unbalanced="0"/>
    <cacheHierarchy uniqueName="[Healthcare_Data].[Date]" caption="Date" attribute="1" time="1" defaultMemberUniqueName="[Healthcare_Data].[Date].[All]" allUniqueName="[Healthcare_Data].[Date].[All]" dimensionUniqueName="[Healthcare_Data]" displayFolder="" count="0" memberValueDatatype="7" unbalanced="0"/>
    <cacheHierarchy uniqueName="[Healthcare_Data].[Hospital]" caption="Hospital" attribute="1" defaultMemberUniqueName="[Healthcare_Data].[Hospital].[All]" allUniqueName="[Healthcare_Data].[Hospital].[All]" dimensionUniqueName="[Healthcare_Data]" displayFolder="" count="2" memberValueDatatype="130" unbalanced="0"/>
    <cacheHierarchy uniqueName="[Healthcare_Data].[Disease]" caption="Disease" attribute="1" defaultMemberUniqueName="[Healthcare_Data].[Disease].[All]" allUniqueName="[Healthcare_Data].[Disease].[All]" dimensionUniqueName="[Healthcare_Data]" displayFolder="" count="2" memberValueDatatype="130" unbalanced="0">
      <fieldsUsage count="2">
        <fieldUsage x="-1"/>
        <fieldUsage x="1"/>
      </fieldsUsage>
    </cacheHierarchy>
    <cacheHierarchy uniqueName="[Healthcare_Data].[Gender]" caption="Gender" attribute="1" defaultMemberUniqueName="[Healthcare_Data].[Gender].[All]" allUniqueName="[Healthcare_Data].[Gender].[All]" dimensionUniqueName="[Healthcare_Data]" displayFolder="" count="2" memberValueDatatype="130" unbalanced="0"/>
    <cacheHierarchy uniqueName="[Healthcare_Data].[Age]" caption="Age" attribute="1" defaultMemberUniqueName="[Healthcare_Data].[Age].[All]" allUniqueName="[Healthcare_Data].[Age].[All]" dimensionUniqueName="[Healthcare_Data]" displayFolder="" count="0" memberValueDatatype="20" unbalanced="0"/>
    <cacheHierarchy uniqueName="[Healthcare_Data].[Admission Type]" caption="Admission Type" attribute="1" defaultMemberUniqueName="[Healthcare_Data].[Admission Type].[All]" allUniqueName="[Healthcare_Data].[Admission Type].[All]" dimensionUniqueName="[Healthcare_Data]" displayFolder="" count="2" memberValueDatatype="130" unbalanced="0"/>
    <cacheHierarchy uniqueName="[Healthcare_Data].[Outcome]" caption="Outcome" attribute="1" defaultMemberUniqueName="[Healthcare_Data].[Outcome].[All]" allUniqueName="[Healthcare_Data].[Outcome].[All]" dimensionUniqueName="[Healthcare_Data]" displayFolder="" count="0" memberValueDatatype="130" unbalanced="0"/>
    <cacheHierarchy uniqueName="[Healthcare_Data].[Date (Year)]" caption="Date (Year)" attribute="1" defaultMemberUniqueName="[Healthcare_Data].[Date (Year)].[All]" allUniqueName="[Healthcare_Data].[Date (Year)].[All]" dimensionUniqueName="[Healthcare_Data]" displayFolder="" count="0" memberValueDatatype="130" unbalanced="0"/>
    <cacheHierarchy uniqueName="[Healthcare_Data].[Date (Quarter)]" caption="Date (Quarter)" attribute="1" defaultMemberUniqueName="[Healthcare_Data].[Date (Quarter)].[All]" allUniqueName="[Healthcare_Data].[Date (Quarter)].[All]" dimensionUniqueName="[Healthcare_Data]" displayFolder="" count="0" memberValueDatatype="130" unbalanced="0"/>
    <cacheHierarchy uniqueName="[Healthcare_Data].[Date (Month)]" caption="Date (Month)" attribute="1" defaultMemberUniqueName="[Healthcare_Data].[Date (Month)].[All]" allUniqueName="[Healthcare_Data].[Date (Month)].[All]" dimensionUniqueName="[Healthcare_Data]" displayFolder="" count="0" memberValueDatatype="130" unbalanced="0"/>
    <cacheHierarchy uniqueName="[Healthcare_Data].[Date (Month Index)]" caption="Date (Month Index)" attribute="1" defaultMemberUniqueName="[Healthcare_Data].[Date (Month Index)].[All]" allUniqueName="[Healthcare_Data].[Date (Month Index)].[All]" dimensionUniqueName="[Healthcare_Data]" displayFolder="" count="0" memberValueDatatype="20" unbalanced="0" hidden="1"/>
    <cacheHierarchy uniqueName="[Measures].[__XL_Count Healthcare_Data]" caption="__XL_Count Healthcare_Data" measure="1" displayFolder="" measureGroup="Healthcare_Data" count="0" hidden="1"/>
    <cacheHierarchy uniqueName="[Measures].[__No measures defined]" caption="__No measures defined" measure="1" displayFolder="" count="0" hidden="1"/>
    <cacheHierarchy uniqueName="[Measures].[Count of Patient ID]" caption="Count of Patient ID" measure="1" displayFolder="" measureGroup="Healthcare_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ealthcare_Data"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Healthcare_Data" count="0" hidden="1">
      <extLst>
        <ext xmlns:x15="http://schemas.microsoft.com/office/spreadsheetml/2010/11/main" uri="{B97F6D7D-B522-45F9-BDA1-12C45D357490}">
          <x15:cacheHierarchy aggregatedColumn="5"/>
        </ext>
      </extLst>
    </cacheHierarchy>
    <cacheHierarchy uniqueName="[Measures].[Count of Hospital]" caption="Count of Hospital" measure="1" displayFolder="" measureGroup="Healthcare_Data" count="0" hidden="1">
      <extLst>
        <ext xmlns:x15="http://schemas.microsoft.com/office/spreadsheetml/2010/11/main" uri="{B97F6D7D-B522-45F9-BDA1-12C45D357490}">
          <x15:cacheHierarchy aggregatedColumn="2"/>
        </ext>
      </extLst>
    </cacheHierarchy>
    <cacheHierarchy uniqueName="[Measures].[Distinct Count of Hospital]" caption="Distinct Count of Hospital" measure="1" displayFolder="" measureGroup="Healthcare_Data"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Disease]" caption="Count of Disease" measure="1" displayFolder="" measureGroup="Healthcare_Data" count="0" hidden="1">
      <extLst>
        <ext xmlns:x15="http://schemas.microsoft.com/office/spreadsheetml/2010/11/main" uri="{B97F6D7D-B522-45F9-BDA1-12C45D357490}">
          <x15:cacheHierarchy aggregatedColumn="3"/>
        </ext>
      </extLst>
    </cacheHierarchy>
    <cacheHierarchy uniqueName="[Measures].[Distinct Count of Disease]" caption="Distinct Count of Disease" measure="1" displayFolder="" measureGroup="Healthcare_Data" count="0" hidden="1">
      <extLst>
        <ext xmlns:x15="http://schemas.microsoft.com/office/spreadsheetml/2010/11/main" uri="{B97F6D7D-B522-45F9-BDA1-12C45D357490}">
          <x15:cacheHierarchy aggregatedColumn="3"/>
        </ext>
      </extLst>
    </cacheHierarchy>
  </cacheHierarchies>
  <kpis count="0"/>
  <dimensions count="2">
    <dimension name="Healthcare_Data" uniqueName="[Healthcare_Data]" caption="Healthcare_Data"/>
    <dimension measure="1" name="Measures" uniqueName="[Measures]" caption="Measures"/>
  </dimensions>
  <measureGroups count="1">
    <measureGroup name="Healthcare_Data" caption="Healthcar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0.430876157407" backgroundQuery="1" createdVersion="8" refreshedVersion="8" minRefreshableVersion="3" recordCount="0" supportSubquery="1" supportAdvancedDrill="1" xr:uid="{A46B087B-8A09-4589-8CE1-707E536CA2AC}">
  <cacheSource type="external" connectionId="2"/>
  <cacheFields count="2">
    <cacheField name="[Measures].[Distinct Count of Disease]" caption="Distinct Count of Disease" numFmtId="0" hierarchy="20" level="32767"/>
    <cacheField name="[Healthcare_Data].[Disease].[Disease]" caption="Disease" numFmtId="0" hierarchy="3" level="1">
      <sharedItems containsSemiMixedTypes="0" containsNonDate="0" containsString="0"/>
    </cacheField>
  </cacheFields>
  <cacheHierarchies count="21">
    <cacheHierarchy uniqueName="[Healthcare_Data].[Patient ID]" caption="Patient ID" attribute="1" defaultMemberUniqueName="[Healthcare_Data].[Patient ID].[All]" allUniqueName="[Healthcare_Data].[Patient ID].[All]" dimensionUniqueName="[Healthcare_Data]" displayFolder="" count="0" memberValueDatatype="130" unbalanced="0"/>
    <cacheHierarchy uniqueName="[Healthcare_Data].[Date]" caption="Date" attribute="1" time="1" defaultMemberUniqueName="[Healthcare_Data].[Date].[All]" allUniqueName="[Healthcare_Data].[Date].[All]" dimensionUniqueName="[Healthcare_Data]" displayFolder="" count="0" memberValueDatatype="7" unbalanced="0"/>
    <cacheHierarchy uniqueName="[Healthcare_Data].[Hospital]" caption="Hospital" attribute="1" defaultMemberUniqueName="[Healthcare_Data].[Hospital].[All]" allUniqueName="[Healthcare_Data].[Hospital].[All]" dimensionUniqueName="[Healthcare_Data]" displayFolder="" count="2" memberValueDatatype="130" unbalanced="0"/>
    <cacheHierarchy uniqueName="[Healthcare_Data].[Disease]" caption="Disease" attribute="1" defaultMemberUniqueName="[Healthcare_Data].[Disease].[All]" allUniqueName="[Healthcare_Data].[Disease].[All]" dimensionUniqueName="[Healthcare_Data]" displayFolder="" count="2" memberValueDatatype="130" unbalanced="0">
      <fieldsUsage count="2">
        <fieldUsage x="-1"/>
        <fieldUsage x="1"/>
      </fieldsUsage>
    </cacheHierarchy>
    <cacheHierarchy uniqueName="[Healthcare_Data].[Gender]" caption="Gender" attribute="1" defaultMemberUniqueName="[Healthcare_Data].[Gender].[All]" allUniqueName="[Healthcare_Data].[Gender].[All]" dimensionUniqueName="[Healthcare_Data]" displayFolder="" count="2" memberValueDatatype="130" unbalanced="0"/>
    <cacheHierarchy uniqueName="[Healthcare_Data].[Age]" caption="Age" attribute="1" defaultMemberUniqueName="[Healthcare_Data].[Age].[All]" allUniqueName="[Healthcare_Data].[Age].[All]" dimensionUniqueName="[Healthcare_Data]" displayFolder="" count="0" memberValueDatatype="20" unbalanced="0"/>
    <cacheHierarchy uniqueName="[Healthcare_Data].[Admission Type]" caption="Admission Type" attribute="1" defaultMemberUniqueName="[Healthcare_Data].[Admission Type].[All]" allUniqueName="[Healthcare_Data].[Admission Type].[All]" dimensionUniqueName="[Healthcare_Data]" displayFolder="" count="2" memberValueDatatype="130" unbalanced="0"/>
    <cacheHierarchy uniqueName="[Healthcare_Data].[Outcome]" caption="Outcome" attribute="1" defaultMemberUniqueName="[Healthcare_Data].[Outcome].[All]" allUniqueName="[Healthcare_Data].[Outcome].[All]" dimensionUniqueName="[Healthcare_Data]" displayFolder="" count="0" memberValueDatatype="130" unbalanced="0"/>
    <cacheHierarchy uniqueName="[Healthcare_Data].[Date (Year)]" caption="Date (Year)" attribute="1" defaultMemberUniqueName="[Healthcare_Data].[Date (Year)].[All]" allUniqueName="[Healthcare_Data].[Date (Year)].[All]" dimensionUniqueName="[Healthcare_Data]" displayFolder="" count="0" memberValueDatatype="130" unbalanced="0"/>
    <cacheHierarchy uniqueName="[Healthcare_Data].[Date (Quarter)]" caption="Date (Quarter)" attribute="1" defaultMemberUniqueName="[Healthcare_Data].[Date (Quarter)].[All]" allUniqueName="[Healthcare_Data].[Date (Quarter)].[All]" dimensionUniqueName="[Healthcare_Data]" displayFolder="" count="0" memberValueDatatype="130" unbalanced="0"/>
    <cacheHierarchy uniqueName="[Healthcare_Data].[Date (Month)]" caption="Date (Month)" attribute="1" defaultMemberUniqueName="[Healthcare_Data].[Date (Month)].[All]" allUniqueName="[Healthcare_Data].[Date (Month)].[All]" dimensionUniqueName="[Healthcare_Data]" displayFolder="" count="0" memberValueDatatype="130" unbalanced="0"/>
    <cacheHierarchy uniqueName="[Healthcare_Data].[Date (Month Index)]" caption="Date (Month Index)" attribute="1" defaultMemberUniqueName="[Healthcare_Data].[Date (Month Index)].[All]" allUniqueName="[Healthcare_Data].[Date (Month Index)].[All]" dimensionUniqueName="[Healthcare_Data]" displayFolder="" count="0" memberValueDatatype="20" unbalanced="0" hidden="1"/>
    <cacheHierarchy uniqueName="[Measures].[__XL_Count Healthcare_Data]" caption="__XL_Count Healthcare_Data" measure="1" displayFolder="" measureGroup="Healthcare_Data" count="0" hidden="1"/>
    <cacheHierarchy uniqueName="[Measures].[__No measures defined]" caption="__No measures defined" measure="1" displayFolder="" count="0" hidden="1"/>
    <cacheHierarchy uniqueName="[Measures].[Count of Patient ID]" caption="Count of Patient ID" measure="1" displayFolder="" measureGroup="Healthcare_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ealthcare_Data"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Healthcare_Data" count="0" hidden="1">
      <extLst>
        <ext xmlns:x15="http://schemas.microsoft.com/office/spreadsheetml/2010/11/main" uri="{B97F6D7D-B522-45F9-BDA1-12C45D357490}">
          <x15:cacheHierarchy aggregatedColumn="5"/>
        </ext>
      </extLst>
    </cacheHierarchy>
    <cacheHierarchy uniqueName="[Measures].[Count of Hospital]" caption="Count of Hospital" measure="1" displayFolder="" measureGroup="Healthcare_Data" count="0" hidden="1">
      <extLst>
        <ext xmlns:x15="http://schemas.microsoft.com/office/spreadsheetml/2010/11/main" uri="{B97F6D7D-B522-45F9-BDA1-12C45D357490}">
          <x15:cacheHierarchy aggregatedColumn="2"/>
        </ext>
      </extLst>
    </cacheHierarchy>
    <cacheHierarchy uniqueName="[Measures].[Distinct Count of Hospital]" caption="Distinct Count of Hospital" measure="1" displayFolder="" measureGroup="Healthcare_Data" count="0" hidden="1">
      <extLst>
        <ext xmlns:x15="http://schemas.microsoft.com/office/spreadsheetml/2010/11/main" uri="{B97F6D7D-B522-45F9-BDA1-12C45D357490}">
          <x15:cacheHierarchy aggregatedColumn="2"/>
        </ext>
      </extLst>
    </cacheHierarchy>
    <cacheHierarchy uniqueName="[Measures].[Count of Disease]" caption="Count of Disease" measure="1" displayFolder="" measureGroup="Healthcare_Data" count="0" hidden="1">
      <extLst>
        <ext xmlns:x15="http://schemas.microsoft.com/office/spreadsheetml/2010/11/main" uri="{B97F6D7D-B522-45F9-BDA1-12C45D357490}">
          <x15:cacheHierarchy aggregatedColumn="3"/>
        </ext>
      </extLst>
    </cacheHierarchy>
    <cacheHierarchy uniqueName="[Measures].[Distinct Count of Disease]" caption="Distinct Count of Disease" measure="1" displayFolder="" measureGroup="Healthcare_Data"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name="Healthcare_Data" uniqueName="[Healthcare_Data]" caption="Healthcare_Data"/>
    <dimension measure="1" name="Measures" uniqueName="[Measures]" caption="Measures"/>
  </dimensions>
  <measureGroups count="1">
    <measureGroup name="Healthcare_Data" caption="Healthcar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0.43087650463" backgroundQuery="1" createdVersion="8" refreshedVersion="8" minRefreshableVersion="3" recordCount="0" supportSubquery="1" supportAdvancedDrill="1" xr:uid="{6945B302-08FE-4EA3-A489-BFF63DFD3B5C}">
  <cacheSource type="external" connectionId="2"/>
  <cacheFields count="2">
    <cacheField name="[Healthcare_Data].[Disease].[Disease]" caption="Disease" numFmtId="0" hierarchy="3" level="1">
      <sharedItems count="5">
        <s v="Asthma"/>
        <s v="Cancer"/>
        <s v="Diabetes"/>
        <s v="Flu"/>
        <s v="Heart Disease"/>
      </sharedItems>
    </cacheField>
    <cacheField name="[Measures].[Count of Patient ID]" caption="Count of Patient ID" numFmtId="0" hierarchy="14" level="32767"/>
  </cacheFields>
  <cacheHierarchies count="21">
    <cacheHierarchy uniqueName="[Healthcare_Data].[Patient ID]" caption="Patient ID" attribute="1" defaultMemberUniqueName="[Healthcare_Data].[Patient ID].[All]" allUniqueName="[Healthcare_Data].[Patient ID].[All]" dimensionUniqueName="[Healthcare_Data]" displayFolder="" count="0" memberValueDatatype="130" unbalanced="0"/>
    <cacheHierarchy uniqueName="[Healthcare_Data].[Date]" caption="Date" attribute="1" time="1" defaultMemberUniqueName="[Healthcare_Data].[Date].[All]" allUniqueName="[Healthcare_Data].[Date].[All]" dimensionUniqueName="[Healthcare_Data]" displayFolder="" count="0" memberValueDatatype="7" unbalanced="0"/>
    <cacheHierarchy uniqueName="[Healthcare_Data].[Hospital]" caption="Hospital" attribute="1" defaultMemberUniqueName="[Healthcare_Data].[Hospital].[All]" allUniqueName="[Healthcare_Data].[Hospital].[All]" dimensionUniqueName="[Healthcare_Data]" displayFolder="" count="2" memberValueDatatype="130" unbalanced="0"/>
    <cacheHierarchy uniqueName="[Healthcare_Data].[Disease]" caption="Disease" attribute="1" defaultMemberUniqueName="[Healthcare_Data].[Disease].[All]" allUniqueName="[Healthcare_Data].[Disease].[All]" dimensionUniqueName="[Healthcare_Data]" displayFolder="" count="2" memberValueDatatype="130" unbalanced="0">
      <fieldsUsage count="2">
        <fieldUsage x="-1"/>
        <fieldUsage x="0"/>
      </fieldsUsage>
    </cacheHierarchy>
    <cacheHierarchy uniqueName="[Healthcare_Data].[Gender]" caption="Gender" attribute="1" defaultMemberUniqueName="[Healthcare_Data].[Gender].[All]" allUniqueName="[Healthcare_Data].[Gender].[All]" dimensionUniqueName="[Healthcare_Data]" displayFolder="" count="2" memberValueDatatype="130" unbalanced="0"/>
    <cacheHierarchy uniqueName="[Healthcare_Data].[Age]" caption="Age" attribute="1" defaultMemberUniqueName="[Healthcare_Data].[Age].[All]" allUniqueName="[Healthcare_Data].[Age].[All]" dimensionUniqueName="[Healthcare_Data]" displayFolder="" count="0" memberValueDatatype="20" unbalanced="0"/>
    <cacheHierarchy uniqueName="[Healthcare_Data].[Admission Type]" caption="Admission Type" attribute="1" defaultMemberUniqueName="[Healthcare_Data].[Admission Type].[All]" allUniqueName="[Healthcare_Data].[Admission Type].[All]" dimensionUniqueName="[Healthcare_Data]" displayFolder="" count="2" memberValueDatatype="130" unbalanced="0"/>
    <cacheHierarchy uniqueName="[Healthcare_Data].[Outcome]" caption="Outcome" attribute="1" defaultMemberUniqueName="[Healthcare_Data].[Outcome].[All]" allUniqueName="[Healthcare_Data].[Outcome].[All]" dimensionUniqueName="[Healthcare_Data]" displayFolder="" count="0" memberValueDatatype="130" unbalanced="0"/>
    <cacheHierarchy uniqueName="[Healthcare_Data].[Date (Year)]" caption="Date (Year)" attribute="1" defaultMemberUniqueName="[Healthcare_Data].[Date (Year)].[All]" allUniqueName="[Healthcare_Data].[Date (Year)].[All]" dimensionUniqueName="[Healthcare_Data]" displayFolder="" count="0" memberValueDatatype="130" unbalanced="0"/>
    <cacheHierarchy uniqueName="[Healthcare_Data].[Date (Quarter)]" caption="Date (Quarter)" attribute="1" defaultMemberUniqueName="[Healthcare_Data].[Date (Quarter)].[All]" allUniqueName="[Healthcare_Data].[Date (Quarter)].[All]" dimensionUniqueName="[Healthcare_Data]" displayFolder="" count="0" memberValueDatatype="130" unbalanced="0"/>
    <cacheHierarchy uniqueName="[Healthcare_Data].[Date (Month)]" caption="Date (Month)" attribute="1" defaultMemberUniqueName="[Healthcare_Data].[Date (Month)].[All]" allUniqueName="[Healthcare_Data].[Date (Month)].[All]" dimensionUniqueName="[Healthcare_Data]" displayFolder="" count="0" memberValueDatatype="130" unbalanced="0"/>
    <cacheHierarchy uniqueName="[Healthcare_Data].[Date (Month Index)]" caption="Date (Month Index)" attribute="1" defaultMemberUniqueName="[Healthcare_Data].[Date (Month Index)].[All]" allUniqueName="[Healthcare_Data].[Date (Month Index)].[All]" dimensionUniqueName="[Healthcare_Data]" displayFolder="" count="0" memberValueDatatype="20" unbalanced="0" hidden="1"/>
    <cacheHierarchy uniqueName="[Measures].[__XL_Count Healthcare_Data]" caption="__XL_Count Healthcare_Data" measure="1" displayFolder="" measureGroup="Healthcare_Data" count="0" hidden="1"/>
    <cacheHierarchy uniqueName="[Measures].[__No measures defined]" caption="__No measures defined" measure="1" displayFolder="" count="0" hidden="1"/>
    <cacheHierarchy uniqueName="[Measures].[Count of Patient ID]" caption="Count of Patient ID" measure="1" displayFolder="" measureGroup="Healthcare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Healthcare_Data"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Healthcare_Data" count="0" hidden="1">
      <extLst>
        <ext xmlns:x15="http://schemas.microsoft.com/office/spreadsheetml/2010/11/main" uri="{B97F6D7D-B522-45F9-BDA1-12C45D357490}">
          <x15:cacheHierarchy aggregatedColumn="5"/>
        </ext>
      </extLst>
    </cacheHierarchy>
    <cacheHierarchy uniqueName="[Measures].[Count of Hospital]" caption="Count of Hospital" measure="1" displayFolder="" measureGroup="Healthcare_Data" count="0" hidden="1">
      <extLst>
        <ext xmlns:x15="http://schemas.microsoft.com/office/spreadsheetml/2010/11/main" uri="{B97F6D7D-B522-45F9-BDA1-12C45D357490}">
          <x15:cacheHierarchy aggregatedColumn="2"/>
        </ext>
      </extLst>
    </cacheHierarchy>
    <cacheHierarchy uniqueName="[Measures].[Distinct Count of Hospital]" caption="Distinct Count of Hospital" measure="1" displayFolder="" measureGroup="Healthcare_Data" count="0" hidden="1">
      <extLst>
        <ext xmlns:x15="http://schemas.microsoft.com/office/spreadsheetml/2010/11/main" uri="{B97F6D7D-B522-45F9-BDA1-12C45D357490}">
          <x15:cacheHierarchy aggregatedColumn="2"/>
        </ext>
      </extLst>
    </cacheHierarchy>
    <cacheHierarchy uniqueName="[Measures].[Count of Disease]" caption="Count of Disease" measure="1" displayFolder="" measureGroup="Healthcare_Data" count="0" hidden="1">
      <extLst>
        <ext xmlns:x15="http://schemas.microsoft.com/office/spreadsheetml/2010/11/main" uri="{B97F6D7D-B522-45F9-BDA1-12C45D357490}">
          <x15:cacheHierarchy aggregatedColumn="3"/>
        </ext>
      </extLst>
    </cacheHierarchy>
    <cacheHierarchy uniqueName="[Measures].[Distinct Count of Disease]" caption="Distinct Count of Disease" measure="1" displayFolder="" measureGroup="Healthcare_Data" count="0" hidden="1">
      <extLst>
        <ext xmlns:x15="http://schemas.microsoft.com/office/spreadsheetml/2010/11/main" uri="{B97F6D7D-B522-45F9-BDA1-12C45D357490}">
          <x15:cacheHierarchy aggregatedColumn="3"/>
        </ext>
      </extLst>
    </cacheHierarchy>
  </cacheHierarchies>
  <kpis count="0"/>
  <dimensions count="2">
    <dimension name="Healthcare_Data" uniqueName="[Healthcare_Data]" caption="Healthcare_Data"/>
    <dimension measure="1" name="Measures" uniqueName="[Measures]" caption="Measures"/>
  </dimensions>
  <measureGroups count="1">
    <measureGroup name="Healthcare_Data" caption="Healthcar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0.43087708333" backgroundQuery="1" createdVersion="8" refreshedVersion="8" minRefreshableVersion="3" recordCount="0" supportSubquery="1" supportAdvancedDrill="1" xr:uid="{0E7E4259-01C6-4181-BF77-F0A3D44BAB38}">
  <cacheSource type="external" connectionId="2"/>
  <cacheFields count="3">
    <cacheField name="[Healthcare_Data].[Hospital].[Hospital]" caption="Hospital" numFmtId="0" hierarchy="2" level="1">
      <sharedItems count="5">
        <s v="Apollo Clinic"/>
        <s v="Care Medical"/>
        <s v="City Hospital"/>
        <s v="Metro Hospital"/>
        <s v="Sunrise Hospital"/>
      </sharedItems>
    </cacheField>
    <cacheField name="[Measures].[Count of Patient ID]" caption="Count of Patient ID" numFmtId="0" hierarchy="14" level="32767"/>
    <cacheField name="[Healthcare_Data].[Disease].[Disease]" caption="Disease" numFmtId="0" hierarchy="3" level="1">
      <sharedItems containsSemiMixedTypes="0" containsNonDate="0" containsString="0"/>
    </cacheField>
  </cacheFields>
  <cacheHierarchies count="21">
    <cacheHierarchy uniqueName="[Healthcare_Data].[Patient ID]" caption="Patient ID" attribute="1" defaultMemberUniqueName="[Healthcare_Data].[Patient ID].[All]" allUniqueName="[Healthcare_Data].[Patient ID].[All]" dimensionUniqueName="[Healthcare_Data]" displayFolder="" count="2" memberValueDatatype="130" unbalanced="0"/>
    <cacheHierarchy uniqueName="[Healthcare_Data].[Date]" caption="Date" attribute="1" time="1" defaultMemberUniqueName="[Healthcare_Data].[Date].[All]" allUniqueName="[Healthcare_Data].[Date].[All]" dimensionUniqueName="[Healthcare_Data]" displayFolder="" count="2" memberValueDatatype="7" unbalanced="0"/>
    <cacheHierarchy uniqueName="[Healthcare_Data].[Hospital]" caption="Hospital" attribute="1" defaultMemberUniqueName="[Healthcare_Data].[Hospital].[All]" allUniqueName="[Healthcare_Data].[Hospital].[All]" dimensionUniqueName="[Healthcare_Data]" displayFolder="" count="2" memberValueDatatype="130" unbalanced="0">
      <fieldsUsage count="2">
        <fieldUsage x="-1"/>
        <fieldUsage x="0"/>
      </fieldsUsage>
    </cacheHierarchy>
    <cacheHierarchy uniqueName="[Healthcare_Data].[Disease]" caption="Disease" attribute="1" defaultMemberUniqueName="[Healthcare_Data].[Disease].[All]" allUniqueName="[Healthcare_Data].[Disease].[All]" dimensionUniqueName="[Healthcare_Data]" displayFolder="" count="2" memberValueDatatype="130" unbalanced="0">
      <fieldsUsage count="2">
        <fieldUsage x="-1"/>
        <fieldUsage x="2"/>
      </fieldsUsage>
    </cacheHierarchy>
    <cacheHierarchy uniqueName="[Healthcare_Data].[Gender]" caption="Gender" attribute="1" defaultMemberUniqueName="[Healthcare_Data].[Gender].[All]" allUniqueName="[Healthcare_Data].[Gender].[All]" dimensionUniqueName="[Healthcare_Data]" displayFolder="" count="2" memberValueDatatype="130" unbalanced="0"/>
    <cacheHierarchy uniqueName="[Healthcare_Data].[Age]" caption="Age" attribute="1" defaultMemberUniqueName="[Healthcare_Data].[Age].[All]" allUniqueName="[Healthcare_Data].[Age].[All]" dimensionUniqueName="[Healthcare_Data]" displayFolder="" count="2" memberValueDatatype="20" unbalanced="0"/>
    <cacheHierarchy uniqueName="[Healthcare_Data].[Admission Type]" caption="Admission Type" attribute="1" defaultMemberUniqueName="[Healthcare_Data].[Admission Type].[All]" allUniqueName="[Healthcare_Data].[Admission Type].[All]" dimensionUniqueName="[Healthcare_Data]" displayFolder="" count="2" memberValueDatatype="130" unbalanced="0"/>
    <cacheHierarchy uniqueName="[Healthcare_Data].[Outcome]" caption="Outcome" attribute="1" defaultMemberUniqueName="[Healthcare_Data].[Outcome].[All]" allUniqueName="[Healthcare_Data].[Outcome].[All]" dimensionUniqueName="[Healthcare_Data]" displayFolder="" count="2" memberValueDatatype="130" unbalanced="0"/>
    <cacheHierarchy uniqueName="[Healthcare_Data].[Date (Year)]" caption="Date (Year)" attribute="1" defaultMemberUniqueName="[Healthcare_Data].[Date (Year)].[All]" allUniqueName="[Healthcare_Data].[Date (Year)].[All]" dimensionUniqueName="[Healthcare_Data]" displayFolder="" count="2" memberValueDatatype="130" unbalanced="0"/>
    <cacheHierarchy uniqueName="[Healthcare_Data].[Date (Quarter)]" caption="Date (Quarter)" attribute="1" defaultMemberUniqueName="[Healthcare_Data].[Date (Quarter)].[All]" allUniqueName="[Healthcare_Data].[Date (Quarter)].[All]" dimensionUniqueName="[Healthcare_Data]" displayFolder="" count="2" memberValueDatatype="130" unbalanced="0"/>
    <cacheHierarchy uniqueName="[Healthcare_Data].[Date (Month)]" caption="Date (Month)" attribute="1" defaultMemberUniqueName="[Healthcare_Data].[Date (Month)].[All]" allUniqueName="[Healthcare_Data].[Date (Month)].[All]" dimensionUniqueName="[Healthcare_Data]" displayFolder="" count="2" memberValueDatatype="130" unbalanced="0"/>
    <cacheHierarchy uniqueName="[Healthcare_Data].[Date (Month Index)]" caption="Date (Month Index)" attribute="1" defaultMemberUniqueName="[Healthcare_Data].[Date (Month Index)].[All]" allUniqueName="[Healthcare_Data].[Date (Month Index)].[All]" dimensionUniqueName="[Healthcare_Data]" displayFolder="" count="2" memberValueDatatype="20" unbalanced="0" hidden="1"/>
    <cacheHierarchy uniqueName="[Measures].[__XL_Count Healthcare_Data]" caption="__XL_Count Healthcare_Data" measure="1" displayFolder="" measureGroup="Healthcare_Data" count="0" hidden="1"/>
    <cacheHierarchy uniqueName="[Measures].[__No measures defined]" caption="__No measures defined" measure="1" displayFolder="" count="0" hidden="1"/>
    <cacheHierarchy uniqueName="[Measures].[Count of Patient ID]" caption="Count of Patient ID" measure="1" displayFolder="" measureGroup="Healthcare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Healthcare_Data"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Healthcare_Data" count="0" hidden="1">
      <extLst>
        <ext xmlns:x15="http://schemas.microsoft.com/office/spreadsheetml/2010/11/main" uri="{B97F6D7D-B522-45F9-BDA1-12C45D357490}">
          <x15:cacheHierarchy aggregatedColumn="5"/>
        </ext>
      </extLst>
    </cacheHierarchy>
    <cacheHierarchy uniqueName="[Measures].[Count of Hospital]" caption="Count of Hospital" measure="1" displayFolder="" measureGroup="Healthcare_Data" count="0" hidden="1">
      <extLst>
        <ext xmlns:x15="http://schemas.microsoft.com/office/spreadsheetml/2010/11/main" uri="{B97F6D7D-B522-45F9-BDA1-12C45D357490}">
          <x15:cacheHierarchy aggregatedColumn="2"/>
        </ext>
      </extLst>
    </cacheHierarchy>
    <cacheHierarchy uniqueName="[Measures].[Distinct Count of Hospital]" caption="Distinct Count of Hospital" measure="1" displayFolder="" measureGroup="Healthcare_Data" count="0" hidden="1">
      <extLst>
        <ext xmlns:x15="http://schemas.microsoft.com/office/spreadsheetml/2010/11/main" uri="{B97F6D7D-B522-45F9-BDA1-12C45D357490}">
          <x15:cacheHierarchy aggregatedColumn="2"/>
        </ext>
      </extLst>
    </cacheHierarchy>
    <cacheHierarchy uniqueName="[Measures].[Count of Disease]" caption="Count of Disease" measure="1" displayFolder="" measureGroup="Healthcare_Data" count="0" hidden="1">
      <extLst>
        <ext xmlns:x15="http://schemas.microsoft.com/office/spreadsheetml/2010/11/main" uri="{B97F6D7D-B522-45F9-BDA1-12C45D357490}">
          <x15:cacheHierarchy aggregatedColumn="3"/>
        </ext>
      </extLst>
    </cacheHierarchy>
    <cacheHierarchy uniqueName="[Measures].[Distinct Count of Disease]" caption="Distinct Count of Disease" measure="1" displayFolder="" measureGroup="Healthcare_Data" count="0" hidden="1">
      <extLst>
        <ext xmlns:x15="http://schemas.microsoft.com/office/spreadsheetml/2010/11/main" uri="{B97F6D7D-B522-45F9-BDA1-12C45D357490}">
          <x15:cacheHierarchy aggregatedColumn="3"/>
        </ext>
      </extLst>
    </cacheHierarchy>
  </cacheHierarchies>
  <kpis count="0"/>
  <dimensions count="2">
    <dimension name="Healthcare_Data" uniqueName="[Healthcare_Data]" caption="Healthcare_Data"/>
    <dimension measure="1" name="Measures" uniqueName="[Measures]" caption="Measures"/>
  </dimensions>
  <measureGroups count="1">
    <measureGroup name="Healthcare_Data" caption="Healthcar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9.873924305553" backgroundQuery="1" createdVersion="3" refreshedVersion="8" minRefreshableVersion="3" recordCount="0" supportSubquery="1" supportAdvancedDrill="1" xr:uid="{4826A590-9C22-49E6-AE72-337511322003}">
  <cacheSource type="external" connectionId="2">
    <extLst>
      <ext xmlns:x14="http://schemas.microsoft.com/office/spreadsheetml/2009/9/main" uri="{F057638F-6D5F-4e77-A914-E7F072B9BCA8}">
        <x14:sourceConnection name="ThisWorkbookDataModel"/>
      </ext>
    </extLst>
  </cacheSource>
  <cacheFields count="0"/>
  <cacheHierarchies count="21">
    <cacheHierarchy uniqueName="[Healthcare_Data].[Patient ID]" caption="Patient ID" attribute="1" defaultMemberUniqueName="[Healthcare_Data].[Patient ID].[All]" allUniqueName="[Healthcare_Data].[Patient ID].[All]" dimensionUniqueName="[Healthcare_Data]" displayFolder="" count="0" memberValueDatatype="130" unbalanced="0"/>
    <cacheHierarchy uniqueName="[Healthcare_Data].[Date]" caption="Date" attribute="1" time="1" defaultMemberUniqueName="[Healthcare_Data].[Date].[All]" allUniqueName="[Healthcare_Data].[Date].[All]" dimensionUniqueName="[Healthcare_Data]" displayFolder="" count="0" memberValueDatatype="7" unbalanced="0"/>
    <cacheHierarchy uniqueName="[Healthcare_Data].[Hospital]" caption="Hospital" attribute="1" defaultMemberUniqueName="[Healthcare_Data].[Hospital].[All]" allUniqueName="[Healthcare_Data].[Hospital].[All]" dimensionUniqueName="[Healthcare_Data]" displayFolder="" count="2" memberValueDatatype="130" unbalanced="0"/>
    <cacheHierarchy uniqueName="[Healthcare_Data].[Disease]" caption="Disease" attribute="1" defaultMemberUniqueName="[Healthcare_Data].[Disease].[All]" allUniqueName="[Healthcare_Data].[Disease].[All]" dimensionUniqueName="[Healthcare_Data]" displayFolder="" count="2" memberValueDatatype="130" unbalanced="0"/>
    <cacheHierarchy uniqueName="[Healthcare_Data].[Gender]" caption="Gender" attribute="1" defaultMemberUniqueName="[Healthcare_Data].[Gender].[All]" allUniqueName="[Healthcare_Data].[Gender].[All]" dimensionUniqueName="[Healthcare_Data]" displayFolder="" count="2" memberValueDatatype="130" unbalanced="0"/>
    <cacheHierarchy uniqueName="[Healthcare_Data].[Age]" caption="Age" attribute="1" defaultMemberUniqueName="[Healthcare_Data].[Age].[All]" allUniqueName="[Healthcare_Data].[Age].[All]" dimensionUniqueName="[Healthcare_Data]" displayFolder="" count="0" memberValueDatatype="20" unbalanced="0"/>
    <cacheHierarchy uniqueName="[Healthcare_Data].[Admission Type]" caption="Admission Type" attribute="1" defaultMemberUniqueName="[Healthcare_Data].[Admission Type].[All]" allUniqueName="[Healthcare_Data].[Admission Type].[All]" dimensionUniqueName="[Healthcare_Data]" displayFolder="" count="2" memberValueDatatype="130" unbalanced="0"/>
    <cacheHierarchy uniqueName="[Healthcare_Data].[Outcome]" caption="Outcome" attribute="1" defaultMemberUniqueName="[Healthcare_Data].[Outcome].[All]" allUniqueName="[Healthcare_Data].[Outcome].[All]" dimensionUniqueName="[Healthcare_Data]" displayFolder="" count="0" memberValueDatatype="130" unbalanced="0"/>
    <cacheHierarchy uniqueName="[Healthcare_Data].[Date (Year)]" caption="Date (Year)" attribute="1" defaultMemberUniqueName="[Healthcare_Data].[Date (Year)].[All]" allUniqueName="[Healthcare_Data].[Date (Year)].[All]" dimensionUniqueName="[Healthcare_Data]" displayFolder="" count="0" memberValueDatatype="130" unbalanced="0"/>
    <cacheHierarchy uniqueName="[Healthcare_Data].[Date (Quarter)]" caption="Date (Quarter)" attribute="1" defaultMemberUniqueName="[Healthcare_Data].[Date (Quarter)].[All]" allUniqueName="[Healthcare_Data].[Date (Quarter)].[All]" dimensionUniqueName="[Healthcare_Data]" displayFolder="" count="0" memberValueDatatype="130" unbalanced="0"/>
    <cacheHierarchy uniqueName="[Healthcare_Data].[Date (Month)]" caption="Date (Month)" attribute="1" defaultMemberUniqueName="[Healthcare_Data].[Date (Month)].[All]" allUniqueName="[Healthcare_Data].[Date (Month)].[All]" dimensionUniqueName="[Healthcare_Data]" displayFolder="" count="0" memberValueDatatype="130" unbalanced="0"/>
    <cacheHierarchy uniqueName="[Healthcare_Data].[Date (Month Index)]" caption="Date (Month Index)" attribute="1" defaultMemberUniqueName="[Healthcare_Data].[Date (Month Index)].[All]" allUniqueName="[Healthcare_Data].[Date (Month Index)].[All]" dimensionUniqueName="[Healthcare_Data]" displayFolder="" count="0" memberValueDatatype="20" unbalanced="0" hidden="1"/>
    <cacheHierarchy uniqueName="[Measures].[__XL_Count Healthcare_Data]" caption="__XL_Count Healthcare_Data" measure="1" displayFolder="" measureGroup="Healthcare_Data" count="0" hidden="1"/>
    <cacheHierarchy uniqueName="[Measures].[__No measures defined]" caption="__No measures defined" measure="1" displayFolder="" count="0" hidden="1"/>
    <cacheHierarchy uniqueName="[Measures].[Count of Patient ID]" caption="Count of Patient ID" measure="1" displayFolder="" measureGroup="Healthcare_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ealthcare_Data"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Healthcare_Data" count="0" hidden="1">
      <extLst>
        <ext xmlns:x15="http://schemas.microsoft.com/office/spreadsheetml/2010/11/main" uri="{B97F6D7D-B522-45F9-BDA1-12C45D357490}">
          <x15:cacheHierarchy aggregatedColumn="5"/>
        </ext>
      </extLst>
    </cacheHierarchy>
    <cacheHierarchy uniqueName="[Measures].[Count of Hospital]" caption="Count of Hospital" measure="1" displayFolder="" measureGroup="Healthcare_Data" count="0" hidden="1">
      <extLst>
        <ext xmlns:x15="http://schemas.microsoft.com/office/spreadsheetml/2010/11/main" uri="{B97F6D7D-B522-45F9-BDA1-12C45D357490}">
          <x15:cacheHierarchy aggregatedColumn="2"/>
        </ext>
      </extLst>
    </cacheHierarchy>
    <cacheHierarchy uniqueName="[Measures].[Distinct Count of Hospital]" caption="Distinct Count of Hospital" measure="1" displayFolder="" measureGroup="Healthcare_Data" count="0" hidden="1">
      <extLst>
        <ext xmlns:x15="http://schemas.microsoft.com/office/spreadsheetml/2010/11/main" uri="{B97F6D7D-B522-45F9-BDA1-12C45D357490}">
          <x15:cacheHierarchy aggregatedColumn="2"/>
        </ext>
      </extLst>
    </cacheHierarchy>
    <cacheHierarchy uniqueName="[Measures].[Count of Disease]" caption="Count of Disease" measure="1" displayFolder="" measureGroup="Healthcare_Data" count="0" hidden="1">
      <extLst>
        <ext xmlns:x15="http://schemas.microsoft.com/office/spreadsheetml/2010/11/main" uri="{B97F6D7D-B522-45F9-BDA1-12C45D357490}">
          <x15:cacheHierarchy aggregatedColumn="3"/>
        </ext>
      </extLst>
    </cacheHierarchy>
    <cacheHierarchy uniqueName="[Measures].[Distinct Count of Disease]" caption="Distinct Count of Disease" measure="1" displayFolder="" measureGroup="Healthcare_Data"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13933328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418A24-691D-4AD3-AD28-EAA4C5C7D8F0}"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ge" fld="0" subtotal="average" baseField="0" baseItem="0"/>
  </dataFields>
  <pivotHierarchies count="2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Ag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ealthcare_Data">
        <x15:activeTabTopLevelEntity name="[Healthca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704F90-BD6E-4B05-9A91-2F45BAC0645F}"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Disease" fld="0" subtotal="count" baseField="0" baseItem="0">
      <extLst>
        <ext xmlns:x15="http://schemas.microsoft.com/office/spreadsheetml/2010/11/main" uri="{FABC7310-3BB5-11E1-824E-6D434824019B}">
          <x15:dataField isCountDistinct="1"/>
        </ext>
      </extLst>
    </dataField>
  </dataFields>
  <pivotHierarchies count="2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Diseas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ealthcare_Data">
        <x15:activeTabTopLevelEntity name="[Healthca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14429C-AE71-44E5-ACDB-4331C6963FB2}"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E17:F2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atient ID" fld="1" subtotal="count" baseField="0" baseItem="0"/>
  </dataFields>
  <chartFormats count="4">
    <chartFormat chart="33" format="5" series="1">
      <pivotArea type="data" outline="0" fieldPosition="0">
        <references count="1">
          <reference field="4294967294" count="1" selected="0">
            <x v="0"/>
          </reference>
        </references>
      </pivotArea>
    </chartFormat>
    <chartFormat chart="33" format="6">
      <pivotArea type="data" outline="0" fieldPosition="0">
        <references count="2">
          <reference field="4294967294" count="1" selected="0">
            <x v="0"/>
          </reference>
          <reference field="0" count="1" selected="0">
            <x v="0"/>
          </reference>
        </references>
      </pivotArea>
    </chartFormat>
    <chartFormat chart="33" format="7">
      <pivotArea type="data" outline="0" fieldPosition="0">
        <references count="2">
          <reference field="4294967294" count="1" selected="0">
            <x v="0"/>
          </reference>
          <reference field="0" count="1" selected="0">
            <x v="1"/>
          </reference>
        </references>
      </pivotArea>
    </chartFormat>
    <chartFormat chart="33" format="8">
      <pivotArea type="data" outline="0" fieldPosition="0">
        <references count="2">
          <reference field="4294967294" count="1" selected="0">
            <x v="0"/>
          </reference>
          <reference field="0" count="1" selected="0">
            <x v="2"/>
          </reference>
        </references>
      </pivotArea>
    </chartFormat>
  </chartFormats>
  <pivotHierarchies count="2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ealthcare_Data">
        <x15:activeTabTopLevelEntity name="[Healthca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01877A-A433-4D59-B2F4-492D88C4B147}"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B17:C2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ID" fld="1" subtotal="count" showDataAs="percentOfCol" baseField="0" baseItem="0" numFmtId="10"/>
  </dataFields>
  <chartFormats count="3">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0" count="1" selected="0">
            <x v="0"/>
          </reference>
        </references>
      </pivotArea>
    </chartFormat>
    <chartFormat chart="28" format="6">
      <pivotArea type="data" outline="0" fieldPosition="0">
        <references count="2">
          <reference field="4294967294" count="1" selected="0">
            <x v="0"/>
          </reference>
          <reference field="0" count="1" selected="0">
            <x v="1"/>
          </reference>
        </references>
      </pivotArea>
    </chartFormat>
  </chartFormats>
  <pivotHierarchies count="2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ealthcare_Data">
        <x15:activeTabTopLevelEntity name="[Healthca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84F112-5DEC-40CA-86C9-77BB3A4BFF2D}"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2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ealthcare_Data">
        <x15:activeTabTopLevelEntity name="[Healthca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E36F49-659F-4F2B-A625-43DD4C3DE578}"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7:E13"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4"/>
    </i>
    <i>
      <x/>
    </i>
    <i>
      <x v="2"/>
    </i>
    <i>
      <x v="3"/>
    </i>
    <i t="grand">
      <x/>
    </i>
  </rowItems>
  <colItems count="1">
    <i/>
  </colItems>
  <dataFields count="1">
    <dataField name="Count of Patient ID" fld="1" subtotal="count" baseField="0" baseItem="0"/>
  </dataFields>
  <chartFormats count="1">
    <chartFormat chart="16" format="2"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ealthcare_Data">
        <x15:activeTabTopLevelEntity name="[Healthca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3A2236-0C50-48F4-A27E-C46623399CBC}"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Hospital" fld="0" subtotal="count" baseField="0" baseItem="0">
      <extLst>
        <ext xmlns:x15="http://schemas.microsoft.com/office/spreadsheetml/2010/11/main" uri="{FABC7310-3BB5-11E1-824E-6D434824019B}">
          <x15:dataField isCountDistinct="1"/>
        </ext>
      </extLst>
    </dataField>
  </dataFields>
  <pivotHierarchies count="2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Hospital"/>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ealthcare_Data">
        <x15:activeTabTopLevelEntity name="[Healthca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A56BFC-B62E-4465-B6B4-1107FD7FBCB9}"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7:B13"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i>
    <i>
      <x v="2"/>
    </i>
    <i>
      <x v="4"/>
    </i>
    <i>
      <x v="1"/>
    </i>
    <i t="grand">
      <x/>
    </i>
  </rowItems>
  <colItems count="1">
    <i/>
  </colItems>
  <dataFields count="1">
    <dataField name="Count of Patient ID" fld="1" subtotal="count" baseField="0" baseItem="0"/>
  </dataFields>
  <chartFormats count="1">
    <chartFormat chart="10" format="2"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ealthcare_Data">
        <x15:activeTabTopLevelEntity name="[Healthca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840D41-FF92-4D7D-8E47-95D37F676CA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G7:H11" firstHeaderRow="1" firstDataRow="1" firstDataCol="1"/>
  <pivotFields count="6">
    <pivotField dataField="1" subtotalTop="0" showAll="0" defaultSubtotal="0"/>
    <pivotField axis="axisRow" allDrilled="1" subtotalTop="0" showAll="0" dataSourceSort="1" defaultSubtotal="0" defaultAttributeDrillState="1">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
        <item x="0" e="0"/>
        <item x="1" e="0"/>
        <item x="2" e="0"/>
      </items>
    </pivotField>
    <pivotField allDrilled="1" subtotalTop="0" showAll="0" dataSourceSort="1" defaultSubtotal="0" defaultAttributeDrillState="1"/>
  </pivotFields>
  <rowFields count="4">
    <field x="4"/>
    <field x="3"/>
    <field x="2"/>
    <field x="1"/>
  </rowFields>
  <rowItems count="4">
    <i>
      <x/>
    </i>
    <i>
      <x v="1"/>
    </i>
    <i>
      <x v="2"/>
    </i>
    <i t="grand">
      <x/>
    </i>
  </rowItems>
  <colItems count="1">
    <i/>
  </colItems>
  <dataFields count="1">
    <dataField name="Count of Patient ID" fld="0" subtotal="count" baseField="0" baseItem="0"/>
  </dataFields>
  <chartFormats count="1">
    <chartFormat chart="23" format="2"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8"/>
    <rowHierarchyUsage hierarchyUsage="9"/>
    <rowHierarchyUsage hierarchyUsage="10"/>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ealthcare_Data">
        <x15:activeTabTopLevelEntity name="[Healthcare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E0F8D62-8E12-4379-B23C-570D1EA74007}" autoFormatId="16" applyNumberFormats="0" applyBorderFormats="0" applyFontFormats="0" applyPatternFormats="0" applyAlignmentFormats="0" applyWidthHeightFormats="0">
  <queryTableRefresh nextId="9">
    <queryTableFields count="8">
      <queryTableField id="1" name="Patient ID" tableColumnId="1"/>
      <queryTableField id="2" name="Date" tableColumnId="2"/>
      <queryTableField id="3" name="Hospital" tableColumnId="3"/>
      <queryTableField id="4" name="Disease" tableColumnId="4"/>
      <queryTableField id="5" name="Gender" tableColumnId="5"/>
      <queryTableField id="6" name="Age" tableColumnId="6"/>
      <queryTableField id="7" name="Admission Type" tableColumnId="7"/>
      <queryTableField id="8" name="Outcom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095CF26-FA4A-4673-9509-AA57288C9DB2}" sourceName="[Healthcare_Data].[Gender]">
  <pivotTables>
    <pivotTable tabId="4" name="PivotTable12"/>
    <pivotTable tabId="4" name="PivotTable10"/>
    <pivotTable tabId="4" name="PivotTable11"/>
    <pivotTable tabId="4" name="PivotTable4"/>
    <pivotTable tabId="4" name="PivotTable5"/>
    <pivotTable tabId="4" name="PivotTable6"/>
    <pivotTable tabId="4" name="PivotTable7"/>
    <pivotTable tabId="4" name="PivotTable8"/>
    <pivotTable tabId="4" name="PivotTable9"/>
  </pivotTables>
  <data>
    <olap pivotCacheId="1139333280">
      <levels count="2">
        <level uniqueName="[Healthcare_Data].[Gender].[(All)]" sourceCaption="(All)" count="0"/>
        <level uniqueName="[Healthcare_Data].[Gender].[Gender]" sourceCaption="Gender" count="2">
          <ranges>
            <range startItem="0">
              <i n="[Healthcare_Data].[Gender].&amp;[Female]" c="Female"/>
              <i n="[Healthcare_Data].[Gender].&amp;[Male]" c="Male"/>
            </range>
          </ranges>
        </level>
      </levels>
      <selections count="1">
        <selection n="[Healthcare_Data].[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B2BD88FF-9930-4514-ADDC-6C205AE914F1}" sourceName="[Healthcare_Data].[Admission Type]">
  <pivotTables>
    <pivotTable tabId="4" name="PivotTable10"/>
    <pivotTable tabId="4" name="PivotTable11"/>
    <pivotTable tabId="4" name="PivotTable12"/>
    <pivotTable tabId="4" name="PivotTable4"/>
    <pivotTable tabId="4" name="PivotTable5"/>
    <pivotTable tabId="4" name="PivotTable6"/>
    <pivotTable tabId="4" name="PivotTable7"/>
    <pivotTable tabId="4" name="PivotTable8"/>
    <pivotTable tabId="4" name="PivotTable9"/>
  </pivotTables>
  <data>
    <olap pivotCacheId="1139333280">
      <levels count="2">
        <level uniqueName="[Healthcare_Data].[Admission Type].[(All)]" sourceCaption="(All)" count="0"/>
        <level uniqueName="[Healthcare_Data].[Admission Type].[Admission Type]" sourceCaption="Admission Type" count="2">
          <ranges>
            <range startItem="0">
              <i n="[Healthcare_Data].[Admission Type].&amp;[Emergency]" c="Emergency"/>
              <i n="[Healthcare_Data].[Admission Type].&amp;[Routine]" c="Routine"/>
            </range>
          </ranges>
        </level>
      </levels>
      <selections count="1">
        <selection n="[Healthcare_Data].[Admission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 xr10:uid="{0F781516-A97D-4CAB-A0F3-8B275A184845}" sourceName="[Healthcare_Data].[Disease]">
  <pivotTables>
    <pivotTable tabId="4" name="PivotTable10"/>
    <pivotTable tabId="4" name="PivotTable11"/>
    <pivotTable tabId="4" name="PivotTable12"/>
    <pivotTable tabId="4" name="PivotTable4"/>
    <pivotTable tabId="4" name="PivotTable5"/>
    <pivotTable tabId="4" name="PivotTable6"/>
    <pivotTable tabId="4" name="PivotTable7"/>
    <pivotTable tabId="4" name="PivotTable8"/>
    <pivotTable tabId="4" name="PivotTable9"/>
  </pivotTables>
  <data>
    <olap pivotCacheId="1139333280">
      <levels count="2">
        <level uniqueName="[Healthcare_Data].[Disease].[(All)]" sourceCaption="(All)" count="0"/>
        <level uniqueName="[Healthcare_Data].[Disease].[Disease]" sourceCaption="Disease" count="5">
          <ranges>
            <range startItem="0">
              <i n="[Healthcare_Data].[Disease].&amp;[Asthma]" c="Asthma"/>
              <i n="[Healthcare_Data].[Disease].&amp;[Cancer]" c="Cancer"/>
              <i n="[Healthcare_Data].[Disease].&amp;[Diabetes]" c="Diabetes"/>
              <i n="[Healthcare_Data].[Disease].&amp;[Flu]" c="Flu"/>
              <i n="[Healthcare_Data].[Disease].&amp;[Heart Disease]" c="Heart Disease"/>
            </range>
          </ranges>
        </level>
      </levels>
      <selections count="1">
        <selection n="[Healthcare_Data].[Diseas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 xr10:uid="{953DEDE0-AACD-4DCF-8138-BA333004E250}" sourceName="[Healthcare_Data].[Hospital]">
  <pivotTables>
    <pivotTable tabId="4" name="PivotTable10"/>
    <pivotTable tabId="4" name="PivotTable11"/>
    <pivotTable tabId="4" name="PivotTable12"/>
    <pivotTable tabId="4" name="PivotTable4"/>
    <pivotTable tabId="4" name="PivotTable5"/>
    <pivotTable tabId="4" name="PivotTable6"/>
    <pivotTable tabId="4" name="PivotTable7"/>
    <pivotTable tabId="4" name="PivotTable8"/>
    <pivotTable tabId="4" name="PivotTable9"/>
  </pivotTables>
  <data>
    <olap pivotCacheId="1139333280">
      <levels count="2">
        <level uniqueName="[Healthcare_Data].[Hospital].[(All)]" sourceCaption="(All)" count="0"/>
        <level uniqueName="[Healthcare_Data].[Hospital].[Hospital]" sourceCaption="Hospital" count="5">
          <ranges>
            <range startItem="0">
              <i n="[Healthcare_Data].[Hospital].&amp;[Apollo Clinic]" c="Apollo Clinic"/>
              <i n="[Healthcare_Data].[Hospital].&amp;[Care Medical]" c="Care Medical"/>
              <i n="[Healthcare_Data].[Hospital].&amp;[City Hospital]" c="City Hospital"/>
              <i n="[Healthcare_Data].[Hospital].&amp;[Metro Hospital]" c="Metro Hospital"/>
              <i n="[Healthcare_Data].[Hospital].&amp;[Sunrise Hospital]" c="Sunrise Hospital"/>
            </range>
          </ranges>
        </level>
      </levels>
      <selections count="1">
        <selection n="[Healthcare_Data].[Hospita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9925E67-E18B-4710-A3CE-0FEC28333C9F}" cache="Slicer_Gender" caption="Gender"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6980DDA-5E90-44C4-8BB1-73687AAEBE2C}" cache="Slicer_Gender" caption="Gender" level="1" style="SlicerStyleOther1" rowHeight="247650"/>
  <slicer name="Admission Type" xr10:uid="{A732D82A-1ED7-47E0-B930-1B24AB23F309}" cache="Slicer_Admission_Type" caption="Admission Type" level="1" style="SlicerStyleOther1" rowHeight="247650"/>
  <slicer name="Disease" xr10:uid="{2058D469-1F48-49E1-B775-057A5A8781D4}" cache="Slicer_Disease" caption="Disease" level="1" style="SlicerStyleOther1" rowHeight="247650"/>
  <slicer name="Hospital" xr10:uid="{8D37728F-9832-4608-97FA-DE915FDEA1B6}" cache="Slicer_Hospital" caption="Hospital" level="1" style="SlicerStyleOther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EA57D2-7C9F-41EE-8511-DC6A69A2FA42}" name="Healthcare_Data" displayName="Healthcare_Data" ref="A1:H201" tableType="queryTable" totalsRowShown="0">
  <autoFilter ref="A1:H201" xr:uid="{56EA57D2-7C9F-41EE-8511-DC6A69A2FA42}"/>
  <tableColumns count="8">
    <tableColumn id="1" xr3:uid="{7C3E0C76-9062-4A35-AF99-EC149AB88CE3}" uniqueName="1" name="Patient ID" queryTableFieldId="1" dataDxfId="6"/>
    <tableColumn id="2" xr3:uid="{4721A8E6-BB66-4EED-B7BE-8E60C77634CB}" uniqueName="2" name="Date" queryTableFieldId="2" dataDxfId="5"/>
    <tableColumn id="3" xr3:uid="{439A7D5F-7911-4B5A-9F4E-776894C6DFC5}" uniqueName="3" name="Hospital" queryTableFieldId="3" dataDxfId="4"/>
    <tableColumn id="4" xr3:uid="{F61DF7A2-F2EC-467D-8E92-FEBB159B79D8}" uniqueName="4" name="Disease" queryTableFieldId="4" dataDxfId="3"/>
    <tableColumn id="5" xr3:uid="{62227C6B-48AE-4EDA-83B8-5240B4C4EF9D}" uniqueName="5" name="Gender" queryTableFieldId="5" dataDxfId="2"/>
    <tableColumn id="6" xr3:uid="{80B8B9CA-0851-46F4-BF9F-DD950FD0C32B}" uniqueName="6" name="Age" queryTableFieldId="6"/>
    <tableColumn id="7" xr3:uid="{10F965FE-DAA4-42AC-8A9E-93AEDA5E006C}" uniqueName="7" name="Admission Type" queryTableFieldId="7" dataDxfId="1"/>
    <tableColumn id="8" xr3:uid="{A0A4A176-83F4-4524-B532-C4E47F4F302C}" uniqueName="8" name="Outcome"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0A883-DD50-48FB-B734-FA6408B88DF0}">
  <dimension ref="A3:H21"/>
  <sheetViews>
    <sheetView topLeftCell="A3" workbookViewId="0">
      <selection activeCell="E17" sqref="E17:F21"/>
    </sheetView>
  </sheetViews>
  <sheetFormatPr defaultRowHeight="14.4" x14ac:dyDescent="0.3"/>
  <cols>
    <col min="1" max="1" width="12.44140625" bestFit="1" customWidth="1"/>
    <col min="2" max="2" width="16.33203125" bestFit="1" customWidth="1"/>
    <col min="3" max="3" width="12.77734375" bestFit="1" customWidth="1"/>
    <col min="4" max="4" width="14.109375" bestFit="1" customWidth="1"/>
    <col min="5" max="6" width="16.33203125" bestFit="1" customWidth="1"/>
    <col min="7" max="7" width="21.88671875" bestFit="1" customWidth="1"/>
    <col min="8" max="8" width="16.33203125" bestFit="1" customWidth="1"/>
  </cols>
  <sheetData>
    <row r="3" spans="1:8" x14ac:dyDescent="0.3">
      <c r="A3" t="s">
        <v>225</v>
      </c>
      <c r="C3" t="s">
        <v>226</v>
      </c>
      <c r="E3" t="s">
        <v>227</v>
      </c>
      <c r="G3" t="s">
        <v>230</v>
      </c>
    </row>
    <row r="4" spans="1:8" x14ac:dyDescent="0.3">
      <c r="A4">
        <v>200</v>
      </c>
      <c r="C4">
        <v>42.055</v>
      </c>
      <c r="E4">
        <v>5</v>
      </c>
      <c r="G4">
        <v>5</v>
      </c>
    </row>
    <row r="7" spans="1:8" x14ac:dyDescent="0.3">
      <c r="A7" s="2" t="s">
        <v>228</v>
      </c>
      <c r="B7" t="s">
        <v>225</v>
      </c>
      <c r="D7" s="2" t="s">
        <v>228</v>
      </c>
      <c r="E7" t="s">
        <v>225</v>
      </c>
      <c r="G7" s="2" t="s">
        <v>228</v>
      </c>
      <c r="H7" t="s">
        <v>225</v>
      </c>
    </row>
    <row r="8" spans="1:8" x14ac:dyDescent="0.3">
      <c r="A8" s="3" t="s">
        <v>10</v>
      </c>
      <c r="B8">
        <v>49</v>
      </c>
      <c r="D8" s="3" t="s">
        <v>18</v>
      </c>
      <c r="E8">
        <v>46</v>
      </c>
      <c r="G8" s="3" t="s">
        <v>235</v>
      </c>
      <c r="H8">
        <v>76</v>
      </c>
    </row>
    <row r="9" spans="1:8" x14ac:dyDescent="0.3">
      <c r="A9" s="3" t="s">
        <v>22</v>
      </c>
      <c r="B9">
        <v>42</v>
      </c>
      <c r="D9" s="3" t="s">
        <v>32</v>
      </c>
      <c r="E9">
        <v>44</v>
      </c>
      <c r="G9" s="3" t="s">
        <v>236</v>
      </c>
      <c r="H9">
        <v>81</v>
      </c>
    </row>
    <row r="10" spans="1:8" x14ac:dyDescent="0.3">
      <c r="A10" s="3" t="s">
        <v>24</v>
      </c>
      <c r="B10">
        <v>42</v>
      </c>
      <c r="D10" s="3" t="s">
        <v>15</v>
      </c>
      <c r="E10">
        <v>42</v>
      </c>
      <c r="G10" s="3" t="s">
        <v>237</v>
      </c>
      <c r="H10">
        <v>43</v>
      </c>
    </row>
    <row r="11" spans="1:8" x14ac:dyDescent="0.3">
      <c r="A11" s="3" t="s">
        <v>16</v>
      </c>
      <c r="B11">
        <v>36</v>
      </c>
      <c r="D11" s="3" t="s">
        <v>27</v>
      </c>
      <c r="E11">
        <v>36</v>
      </c>
      <c r="G11" s="3" t="s">
        <v>229</v>
      </c>
      <c r="H11">
        <v>200</v>
      </c>
    </row>
    <row r="12" spans="1:8" x14ac:dyDescent="0.3">
      <c r="A12" s="3" t="s">
        <v>19</v>
      </c>
      <c r="B12">
        <v>31</v>
      </c>
      <c r="D12" s="3" t="s">
        <v>9</v>
      </c>
      <c r="E12">
        <v>32</v>
      </c>
    </row>
    <row r="13" spans="1:8" x14ac:dyDescent="0.3">
      <c r="A13" s="3" t="s">
        <v>229</v>
      </c>
      <c r="B13">
        <v>200</v>
      </c>
      <c r="D13" s="3" t="s">
        <v>229</v>
      </c>
      <c r="E13">
        <v>200</v>
      </c>
    </row>
    <row r="17" spans="2:6" x14ac:dyDescent="0.3">
      <c r="B17" s="2" t="s">
        <v>228</v>
      </c>
      <c r="C17" t="s">
        <v>225</v>
      </c>
      <c r="E17" s="2" t="s">
        <v>228</v>
      </c>
      <c r="F17" t="s">
        <v>225</v>
      </c>
    </row>
    <row r="18" spans="2:6" x14ac:dyDescent="0.3">
      <c r="B18" s="3" t="s">
        <v>30</v>
      </c>
      <c r="C18" s="4">
        <v>0.45500000000000002</v>
      </c>
      <c r="E18" s="3" t="s">
        <v>25</v>
      </c>
      <c r="F18">
        <v>80</v>
      </c>
    </row>
    <row r="19" spans="2:6" x14ac:dyDescent="0.3">
      <c r="B19" s="3" t="s">
        <v>11</v>
      </c>
      <c r="C19" s="4">
        <v>0.54500000000000004</v>
      </c>
      <c r="E19" s="3" t="s">
        <v>13</v>
      </c>
      <c r="F19">
        <v>55</v>
      </c>
    </row>
    <row r="20" spans="2:6" x14ac:dyDescent="0.3">
      <c r="B20" s="3" t="s">
        <v>229</v>
      </c>
      <c r="C20" s="4">
        <v>1</v>
      </c>
      <c r="E20" s="3" t="s">
        <v>28</v>
      </c>
      <c r="F20">
        <v>65</v>
      </c>
    </row>
    <row r="21" spans="2:6" x14ac:dyDescent="0.3">
      <c r="E21" s="3" t="s">
        <v>229</v>
      </c>
      <c r="F21">
        <v>200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85F5B-A73F-49C8-A28B-7FAE45C9C888}">
  <dimension ref="A1:M3"/>
  <sheetViews>
    <sheetView showGridLines="0" tabSelected="1" zoomScale="106" workbookViewId="0">
      <selection activeCell="O7" sqref="O7"/>
    </sheetView>
  </sheetViews>
  <sheetFormatPr defaultRowHeight="40.799999999999997" customHeight="1" x14ac:dyDescent="0.3"/>
  <cols>
    <col min="2" max="2" width="20.6640625" customWidth="1"/>
    <col min="4" max="4" width="20" customWidth="1"/>
    <col min="6" max="6" width="23.77734375" customWidth="1"/>
    <col min="8" max="8" width="26.77734375" customWidth="1"/>
    <col min="13" max="13" width="6.109375" customWidth="1"/>
    <col min="14" max="14" width="16.33203125" bestFit="1" customWidth="1"/>
  </cols>
  <sheetData>
    <row r="1" spans="1:13" ht="40.799999999999997" customHeight="1" x14ac:dyDescent="0.3">
      <c r="A1" s="6"/>
      <c r="B1" s="6"/>
      <c r="C1" s="6"/>
      <c r="D1" s="6"/>
      <c r="E1" s="6"/>
      <c r="F1" s="6"/>
      <c r="G1" s="6"/>
      <c r="H1" s="6"/>
      <c r="I1" s="6"/>
      <c r="J1" s="6"/>
      <c r="K1" s="6"/>
      <c r="L1" s="6"/>
      <c r="M1" s="6"/>
    </row>
    <row r="2" spans="1:13" ht="40.799999999999997" customHeight="1" x14ac:dyDescent="0.5">
      <c r="A2" s="6"/>
      <c r="B2" s="5" t="s">
        <v>231</v>
      </c>
      <c r="C2" s="6"/>
      <c r="D2" s="5" t="s">
        <v>232</v>
      </c>
      <c r="E2" s="6"/>
      <c r="F2" s="5" t="s">
        <v>233</v>
      </c>
      <c r="G2" s="6"/>
      <c r="H2" s="5" t="s">
        <v>234</v>
      </c>
      <c r="I2" s="6"/>
      <c r="J2" s="6"/>
      <c r="K2" s="6"/>
      <c r="L2" s="6"/>
      <c r="M2" s="6"/>
    </row>
    <row r="3" spans="1:13" ht="40.799999999999997" customHeight="1" x14ac:dyDescent="0.5">
      <c r="A3" s="6"/>
      <c r="B3" s="5">
        <f>pivot!A4</f>
        <v>200</v>
      </c>
      <c r="C3" s="6"/>
      <c r="D3" s="7">
        <f>pivot!C4</f>
        <v>42.055</v>
      </c>
      <c r="E3" s="6"/>
      <c r="F3" s="5">
        <f>pivot!E4</f>
        <v>5</v>
      </c>
      <c r="G3" s="6"/>
      <c r="H3" s="5">
        <f>pivot!G4</f>
        <v>5</v>
      </c>
      <c r="I3" s="6"/>
      <c r="J3" s="6"/>
      <c r="K3" s="6"/>
      <c r="L3" s="6"/>
      <c r="M3"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E994B-5172-4675-AD74-203171D515A8}">
  <dimension ref="A1:H201"/>
  <sheetViews>
    <sheetView topLeftCell="A2" workbookViewId="0">
      <selection activeCell="F5" sqref="F5"/>
    </sheetView>
  </sheetViews>
  <sheetFormatPr defaultRowHeight="14.4" x14ac:dyDescent="0.3"/>
  <cols>
    <col min="1" max="1" width="11.33203125" bestFit="1" customWidth="1"/>
    <col min="2" max="2" width="10.33203125" bestFit="1" customWidth="1"/>
    <col min="3" max="3" width="14.109375" bestFit="1" customWidth="1"/>
    <col min="4" max="4" width="12.33203125" bestFit="1" customWidth="1"/>
    <col min="5" max="5" width="9.33203125" bestFit="1" customWidth="1"/>
    <col min="6" max="6" width="6.21875" bestFit="1" customWidth="1"/>
    <col min="7" max="7" width="16.33203125" bestFit="1" customWidth="1"/>
    <col min="8" max="8" width="14.5546875" bestFit="1" customWidth="1"/>
  </cols>
  <sheetData>
    <row r="1" spans="1:8" x14ac:dyDescent="0.3">
      <c r="A1" t="s">
        <v>0</v>
      </c>
      <c r="B1" t="s">
        <v>1</v>
      </c>
      <c r="C1" t="s">
        <v>2</v>
      </c>
      <c r="D1" t="s">
        <v>3</v>
      </c>
      <c r="E1" t="s">
        <v>4</v>
      </c>
      <c r="F1" t="s">
        <v>5</v>
      </c>
      <c r="G1" t="s">
        <v>6</v>
      </c>
      <c r="H1" t="s">
        <v>7</v>
      </c>
    </row>
    <row r="2" spans="1:8" x14ac:dyDescent="0.3">
      <c r="A2" t="s">
        <v>8</v>
      </c>
      <c r="B2" s="1">
        <v>44739</v>
      </c>
      <c r="C2" t="s">
        <v>9</v>
      </c>
      <c r="D2" t="s">
        <v>10</v>
      </c>
      <c r="E2" t="s">
        <v>11</v>
      </c>
      <c r="F2">
        <v>86</v>
      </c>
      <c r="G2" t="s">
        <v>12</v>
      </c>
      <c r="H2" t="s">
        <v>13</v>
      </c>
    </row>
    <row r="3" spans="1:8" x14ac:dyDescent="0.3">
      <c r="A3" t="s">
        <v>14</v>
      </c>
      <c r="B3" s="1">
        <v>45293</v>
      </c>
      <c r="C3" t="s">
        <v>15</v>
      </c>
      <c r="D3" t="s">
        <v>16</v>
      </c>
      <c r="E3" t="s">
        <v>11</v>
      </c>
      <c r="F3">
        <v>46</v>
      </c>
      <c r="G3" t="s">
        <v>12</v>
      </c>
      <c r="H3" t="s">
        <v>13</v>
      </c>
    </row>
    <row r="4" spans="1:8" x14ac:dyDescent="0.3">
      <c r="A4" t="s">
        <v>17</v>
      </c>
      <c r="B4" s="1">
        <v>44886</v>
      </c>
      <c r="C4" t="s">
        <v>18</v>
      </c>
      <c r="D4" t="s">
        <v>19</v>
      </c>
      <c r="E4" t="s">
        <v>11</v>
      </c>
      <c r="F4">
        <v>33</v>
      </c>
      <c r="G4" t="s">
        <v>20</v>
      </c>
      <c r="H4" t="s">
        <v>13</v>
      </c>
    </row>
    <row r="5" spans="1:8" x14ac:dyDescent="0.3">
      <c r="A5" t="s">
        <v>21</v>
      </c>
      <c r="B5" s="1">
        <v>45348</v>
      </c>
      <c r="C5" t="s">
        <v>18</v>
      </c>
      <c r="D5" t="s">
        <v>22</v>
      </c>
      <c r="E5" t="s">
        <v>11</v>
      </c>
      <c r="F5">
        <v>35</v>
      </c>
      <c r="G5" t="s">
        <v>12</v>
      </c>
      <c r="H5" t="s">
        <v>13</v>
      </c>
    </row>
    <row r="6" spans="1:8" x14ac:dyDescent="0.3">
      <c r="A6" t="s">
        <v>23</v>
      </c>
      <c r="B6" s="1">
        <v>45001</v>
      </c>
      <c r="C6" t="s">
        <v>9</v>
      </c>
      <c r="D6" t="s">
        <v>24</v>
      </c>
      <c r="E6" t="s">
        <v>11</v>
      </c>
      <c r="F6">
        <v>3</v>
      </c>
      <c r="G6" t="s">
        <v>20</v>
      </c>
      <c r="H6" t="s">
        <v>25</v>
      </c>
    </row>
    <row r="7" spans="1:8" x14ac:dyDescent="0.3">
      <c r="A7" t="s">
        <v>26</v>
      </c>
      <c r="B7" s="1">
        <v>44595</v>
      </c>
      <c r="C7" t="s">
        <v>27</v>
      </c>
      <c r="D7" t="s">
        <v>16</v>
      </c>
      <c r="E7" t="s">
        <v>11</v>
      </c>
      <c r="F7">
        <v>8</v>
      </c>
      <c r="G7" t="s">
        <v>12</v>
      </c>
      <c r="H7" t="s">
        <v>28</v>
      </c>
    </row>
    <row r="8" spans="1:8" x14ac:dyDescent="0.3">
      <c r="A8" t="s">
        <v>29</v>
      </c>
      <c r="B8" s="1">
        <v>45257</v>
      </c>
      <c r="C8" t="s">
        <v>15</v>
      </c>
      <c r="D8" t="s">
        <v>10</v>
      </c>
      <c r="E8" t="s">
        <v>30</v>
      </c>
      <c r="F8">
        <v>67</v>
      </c>
      <c r="G8" t="s">
        <v>12</v>
      </c>
      <c r="H8" t="s">
        <v>25</v>
      </c>
    </row>
    <row r="9" spans="1:8" x14ac:dyDescent="0.3">
      <c r="A9" t="s">
        <v>31</v>
      </c>
      <c r="B9" s="1">
        <v>45164</v>
      </c>
      <c r="C9" t="s">
        <v>32</v>
      </c>
      <c r="D9" t="s">
        <v>24</v>
      </c>
      <c r="E9" t="s">
        <v>11</v>
      </c>
      <c r="F9">
        <v>72</v>
      </c>
      <c r="G9" t="s">
        <v>12</v>
      </c>
      <c r="H9" t="s">
        <v>13</v>
      </c>
    </row>
    <row r="10" spans="1:8" x14ac:dyDescent="0.3">
      <c r="A10" t="s">
        <v>33</v>
      </c>
      <c r="B10" s="1">
        <v>44913</v>
      </c>
      <c r="C10" t="s">
        <v>15</v>
      </c>
      <c r="D10" t="s">
        <v>22</v>
      </c>
      <c r="E10" t="s">
        <v>11</v>
      </c>
      <c r="F10">
        <v>65</v>
      </c>
      <c r="G10" t="s">
        <v>12</v>
      </c>
      <c r="H10" t="s">
        <v>28</v>
      </c>
    </row>
    <row r="11" spans="1:8" x14ac:dyDescent="0.3">
      <c r="A11" t="s">
        <v>34</v>
      </c>
      <c r="B11" s="1">
        <v>45080</v>
      </c>
      <c r="C11" t="s">
        <v>27</v>
      </c>
      <c r="D11" t="s">
        <v>16</v>
      </c>
      <c r="E11" t="s">
        <v>11</v>
      </c>
      <c r="F11">
        <v>45</v>
      </c>
      <c r="G11" t="s">
        <v>12</v>
      </c>
      <c r="H11" t="s">
        <v>13</v>
      </c>
    </row>
    <row r="12" spans="1:8" x14ac:dyDescent="0.3">
      <c r="A12" t="s">
        <v>35</v>
      </c>
      <c r="B12" s="1">
        <v>44952</v>
      </c>
      <c r="C12" t="s">
        <v>27</v>
      </c>
      <c r="D12" t="s">
        <v>22</v>
      </c>
      <c r="E12" t="s">
        <v>30</v>
      </c>
      <c r="F12">
        <v>31</v>
      </c>
      <c r="G12" t="s">
        <v>12</v>
      </c>
      <c r="H12" t="s">
        <v>25</v>
      </c>
    </row>
    <row r="13" spans="1:8" x14ac:dyDescent="0.3">
      <c r="A13" t="s">
        <v>36</v>
      </c>
      <c r="B13" s="1">
        <v>45088</v>
      </c>
      <c r="C13" t="s">
        <v>27</v>
      </c>
      <c r="D13" t="s">
        <v>10</v>
      </c>
      <c r="E13" t="s">
        <v>11</v>
      </c>
      <c r="F13">
        <v>46</v>
      </c>
      <c r="G13" t="s">
        <v>12</v>
      </c>
      <c r="H13" t="s">
        <v>13</v>
      </c>
    </row>
    <row r="14" spans="1:8" x14ac:dyDescent="0.3">
      <c r="A14" t="s">
        <v>37</v>
      </c>
      <c r="B14" s="1">
        <v>45003</v>
      </c>
      <c r="C14" t="s">
        <v>18</v>
      </c>
      <c r="D14" t="s">
        <v>16</v>
      </c>
      <c r="E14" t="s">
        <v>11</v>
      </c>
      <c r="F14">
        <v>32</v>
      </c>
      <c r="G14" t="s">
        <v>12</v>
      </c>
      <c r="H14" t="s">
        <v>28</v>
      </c>
    </row>
    <row r="15" spans="1:8" x14ac:dyDescent="0.3">
      <c r="A15" t="s">
        <v>38</v>
      </c>
      <c r="B15" s="1">
        <v>44985</v>
      </c>
      <c r="C15" t="s">
        <v>15</v>
      </c>
      <c r="D15" t="s">
        <v>19</v>
      </c>
      <c r="E15" t="s">
        <v>30</v>
      </c>
      <c r="F15">
        <v>64</v>
      </c>
      <c r="G15" t="s">
        <v>20</v>
      </c>
      <c r="H15" t="s">
        <v>25</v>
      </c>
    </row>
    <row r="16" spans="1:8" x14ac:dyDescent="0.3">
      <c r="A16" t="s">
        <v>39</v>
      </c>
      <c r="B16" s="1">
        <v>44771</v>
      </c>
      <c r="C16" t="s">
        <v>18</v>
      </c>
      <c r="D16" t="s">
        <v>22</v>
      </c>
      <c r="E16" t="s">
        <v>11</v>
      </c>
      <c r="F16">
        <v>39</v>
      </c>
      <c r="G16" t="s">
        <v>12</v>
      </c>
      <c r="H16" t="s">
        <v>13</v>
      </c>
    </row>
    <row r="17" spans="1:8" x14ac:dyDescent="0.3">
      <c r="A17" t="s">
        <v>40</v>
      </c>
      <c r="B17" s="1">
        <v>44900</v>
      </c>
      <c r="C17" t="s">
        <v>15</v>
      </c>
      <c r="D17" t="s">
        <v>16</v>
      </c>
      <c r="E17" t="s">
        <v>11</v>
      </c>
      <c r="F17">
        <v>6</v>
      </c>
      <c r="G17" t="s">
        <v>12</v>
      </c>
      <c r="H17" t="s">
        <v>13</v>
      </c>
    </row>
    <row r="18" spans="1:8" x14ac:dyDescent="0.3">
      <c r="A18" t="s">
        <v>41</v>
      </c>
      <c r="B18" s="1">
        <v>45432</v>
      </c>
      <c r="C18" t="s">
        <v>32</v>
      </c>
      <c r="D18" t="s">
        <v>10</v>
      </c>
      <c r="E18" t="s">
        <v>30</v>
      </c>
      <c r="F18">
        <v>75</v>
      </c>
      <c r="G18" t="s">
        <v>20</v>
      </c>
      <c r="H18" t="s">
        <v>25</v>
      </c>
    </row>
    <row r="19" spans="1:8" x14ac:dyDescent="0.3">
      <c r="A19" t="s">
        <v>42</v>
      </c>
      <c r="B19" s="1">
        <v>45376</v>
      </c>
      <c r="C19" t="s">
        <v>15</v>
      </c>
      <c r="D19" t="s">
        <v>10</v>
      </c>
      <c r="E19" t="s">
        <v>30</v>
      </c>
      <c r="F19">
        <v>1</v>
      </c>
      <c r="G19" t="s">
        <v>12</v>
      </c>
      <c r="H19" t="s">
        <v>25</v>
      </c>
    </row>
    <row r="20" spans="1:8" x14ac:dyDescent="0.3">
      <c r="A20" t="s">
        <v>43</v>
      </c>
      <c r="B20" s="1">
        <v>45126</v>
      </c>
      <c r="C20" t="s">
        <v>15</v>
      </c>
      <c r="D20" t="s">
        <v>10</v>
      </c>
      <c r="E20" t="s">
        <v>11</v>
      </c>
      <c r="F20">
        <v>64</v>
      </c>
      <c r="G20" t="s">
        <v>20</v>
      </c>
      <c r="H20" t="s">
        <v>25</v>
      </c>
    </row>
    <row r="21" spans="1:8" x14ac:dyDescent="0.3">
      <c r="A21" t="s">
        <v>44</v>
      </c>
      <c r="B21" s="1">
        <v>45090</v>
      </c>
      <c r="C21" t="s">
        <v>27</v>
      </c>
      <c r="D21" t="s">
        <v>24</v>
      </c>
      <c r="E21" t="s">
        <v>11</v>
      </c>
      <c r="F21">
        <v>39</v>
      </c>
      <c r="G21" t="s">
        <v>20</v>
      </c>
      <c r="H21" t="s">
        <v>13</v>
      </c>
    </row>
    <row r="22" spans="1:8" x14ac:dyDescent="0.3">
      <c r="A22" t="s">
        <v>45</v>
      </c>
      <c r="B22" s="1">
        <v>44923</v>
      </c>
      <c r="C22" t="s">
        <v>9</v>
      </c>
      <c r="D22" t="s">
        <v>24</v>
      </c>
      <c r="E22" t="s">
        <v>30</v>
      </c>
      <c r="F22">
        <v>74</v>
      </c>
      <c r="G22" t="s">
        <v>20</v>
      </c>
      <c r="H22" t="s">
        <v>28</v>
      </c>
    </row>
    <row r="23" spans="1:8" x14ac:dyDescent="0.3">
      <c r="A23" t="s">
        <v>46</v>
      </c>
      <c r="B23" s="1">
        <v>44673</v>
      </c>
      <c r="C23" t="s">
        <v>18</v>
      </c>
      <c r="D23" t="s">
        <v>10</v>
      </c>
      <c r="E23" t="s">
        <v>11</v>
      </c>
      <c r="F23">
        <v>15</v>
      </c>
      <c r="G23" t="s">
        <v>20</v>
      </c>
      <c r="H23" t="s">
        <v>25</v>
      </c>
    </row>
    <row r="24" spans="1:8" x14ac:dyDescent="0.3">
      <c r="A24" t="s">
        <v>47</v>
      </c>
      <c r="B24" s="1">
        <v>45301</v>
      </c>
      <c r="C24" t="s">
        <v>15</v>
      </c>
      <c r="D24" t="s">
        <v>22</v>
      </c>
      <c r="E24" t="s">
        <v>30</v>
      </c>
      <c r="F24">
        <v>25</v>
      </c>
      <c r="G24" t="s">
        <v>12</v>
      </c>
      <c r="H24" t="s">
        <v>28</v>
      </c>
    </row>
    <row r="25" spans="1:8" x14ac:dyDescent="0.3">
      <c r="A25" t="s">
        <v>48</v>
      </c>
      <c r="B25" s="1">
        <v>45304</v>
      </c>
      <c r="C25" t="s">
        <v>32</v>
      </c>
      <c r="D25" t="s">
        <v>24</v>
      </c>
      <c r="E25" t="s">
        <v>11</v>
      </c>
      <c r="F25">
        <v>16</v>
      </c>
      <c r="G25" t="s">
        <v>20</v>
      </c>
      <c r="H25" t="s">
        <v>25</v>
      </c>
    </row>
    <row r="26" spans="1:8" x14ac:dyDescent="0.3">
      <c r="A26" t="s">
        <v>49</v>
      </c>
      <c r="B26" s="1">
        <v>44634</v>
      </c>
      <c r="C26" t="s">
        <v>32</v>
      </c>
      <c r="D26" t="s">
        <v>24</v>
      </c>
      <c r="E26" t="s">
        <v>30</v>
      </c>
      <c r="F26">
        <v>31</v>
      </c>
      <c r="G26" t="s">
        <v>12</v>
      </c>
      <c r="H26" t="s">
        <v>13</v>
      </c>
    </row>
    <row r="27" spans="1:8" x14ac:dyDescent="0.3">
      <c r="A27" t="s">
        <v>50</v>
      </c>
      <c r="B27" s="1">
        <v>44820</v>
      </c>
      <c r="C27" t="s">
        <v>18</v>
      </c>
      <c r="D27" t="s">
        <v>24</v>
      </c>
      <c r="E27" t="s">
        <v>30</v>
      </c>
      <c r="F27">
        <v>70</v>
      </c>
      <c r="G27" t="s">
        <v>20</v>
      </c>
      <c r="H27" t="s">
        <v>28</v>
      </c>
    </row>
    <row r="28" spans="1:8" x14ac:dyDescent="0.3">
      <c r="A28" t="s">
        <v>51</v>
      </c>
      <c r="B28" s="1">
        <v>45260</v>
      </c>
      <c r="C28" t="s">
        <v>18</v>
      </c>
      <c r="D28" t="s">
        <v>10</v>
      </c>
      <c r="E28" t="s">
        <v>11</v>
      </c>
      <c r="F28">
        <v>47</v>
      </c>
      <c r="G28" t="s">
        <v>20</v>
      </c>
      <c r="H28" t="s">
        <v>25</v>
      </c>
    </row>
    <row r="29" spans="1:8" x14ac:dyDescent="0.3">
      <c r="A29" t="s">
        <v>52</v>
      </c>
      <c r="B29" s="1">
        <v>44969</v>
      </c>
      <c r="C29" t="s">
        <v>27</v>
      </c>
      <c r="D29" t="s">
        <v>10</v>
      </c>
      <c r="E29" t="s">
        <v>30</v>
      </c>
      <c r="F29">
        <v>43</v>
      </c>
      <c r="G29" t="s">
        <v>12</v>
      </c>
      <c r="H29" t="s">
        <v>25</v>
      </c>
    </row>
    <row r="30" spans="1:8" x14ac:dyDescent="0.3">
      <c r="A30" t="s">
        <v>53</v>
      </c>
      <c r="B30" s="1">
        <v>45214</v>
      </c>
      <c r="C30" t="s">
        <v>9</v>
      </c>
      <c r="D30" t="s">
        <v>16</v>
      </c>
      <c r="E30" t="s">
        <v>30</v>
      </c>
      <c r="F30">
        <v>86</v>
      </c>
      <c r="G30" t="s">
        <v>20</v>
      </c>
      <c r="H30" t="s">
        <v>28</v>
      </c>
    </row>
    <row r="31" spans="1:8" x14ac:dyDescent="0.3">
      <c r="A31" t="s">
        <v>54</v>
      </c>
      <c r="B31" s="1">
        <v>45167</v>
      </c>
      <c r="C31" t="s">
        <v>15</v>
      </c>
      <c r="D31" t="s">
        <v>19</v>
      </c>
      <c r="E31" t="s">
        <v>30</v>
      </c>
      <c r="F31">
        <v>13</v>
      </c>
      <c r="G31" t="s">
        <v>20</v>
      </c>
      <c r="H31" t="s">
        <v>13</v>
      </c>
    </row>
    <row r="32" spans="1:8" x14ac:dyDescent="0.3">
      <c r="A32" t="s">
        <v>55</v>
      </c>
      <c r="B32" s="1">
        <v>45195</v>
      </c>
      <c r="C32" t="s">
        <v>27</v>
      </c>
      <c r="D32" t="s">
        <v>24</v>
      </c>
      <c r="E32" t="s">
        <v>30</v>
      </c>
      <c r="F32">
        <v>63</v>
      </c>
      <c r="G32" t="s">
        <v>20</v>
      </c>
      <c r="H32" t="s">
        <v>25</v>
      </c>
    </row>
    <row r="33" spans="1:8" x14ac:dyDescent="0.3">
      <c r="A33" t="s">
        <v>56</v>
      </c>
      <c r="B33" s="1">
        <v>45082</v>
      </c>
      <c r="C33" t="s">
        <v>15</v>
      </c>
      <c r="D33" t="s">
        <v>22</v>
      </c>
      <c r="E33" t="s">
        <v>30</v>
      </c>
      <c r="F33">
        <v>36</v>
      </c>
      <c r="G33" t="s">
        <v>12</v>
      </c>
      <c r="H33" t="s">
        <v>25</v>
      </c>
    </row>
    <row r="34" spans="1:8" x14ac:dyDescent="0.3">
      <c r="A34" t="s">
        <v>57</v>
      </c>
      <c r="B34" s="1">
        <v>44958</v>
      </c>
      <c r="C34" t="s">
        <v>15</v>
      </c>
      <c r="D34" t="s">
        <v>22</v>
      </c>
      <c r="E34" t="s">
        <v>11</v>
      </c>
      <c r="F34">
        <v>78</v>
      </c>
      <c r="G34" t="s">
        <v>20</v>
      </c>
      <c r="H34" t="s">
        <v>13</v>
      </c>
    </row>
    <row r="35" spans="1:8" x14ac:dyDescent="0.3">
      <c r="A35" t="s">
        <v>58</v>
      </c>
      <c r="B35" s="1">
        <v>44661</v>
      </c>
      <c r="C35" t="s">
        <v>15</v>
      </c>
      <c r="D35" t="s">
        <v>24</v>
      </c>
      <c r="E35" t="s">
        <v>11</v>
      </c>
      <c r="F35">
        <v>1</v>
      </c>
      <c r="G35" t="s">
        <v>12</v>
      </c>
      <c r="H35" t="s">
        <v>28</v>
      </c>
    </row>
    <row r="36" spans="1:8" x14ac:dyDescent="0.3">
      <c r="A36" t="s">
        <v>59</v>
      </c>
      <c r="B36" s="1">
        <v>44957</v>
      </c>
      <c r="C36" t="s">
        <v>18</v>
      </c>
      <c r="D36" t="s">
        <v>16</v>
      </c>
      <c r="E36" t="s">
        <v>30</v>
      </c>
      <c r="F36">
        <v>65</v>
      </c>
      <c r="G36" t="s">
        <v>12</v>
      </c>
      <c r="H36" t="s">
        <v>25</v>
      </c>
    </row>
    <row r="37" spans="1:8" x14ac:dyDescent="0.3">
      <c r="A37" t="s">
        <v>60</v>
      </c>
      <c r="B37" s="1">
        <v>44993</v>
      </c>
      <c r="C37" t="s">
        <v>32</v>
      </c>
      <c r="D37" t="s">
        <v>24</v>
      </c>
      <c r="E37" t="s">
        <v>30</v>
      </c>
      <c r="F37">
        <v>25</v>
      </c>
      <c r="G37" t="s">
        <v>20</v>
      </c>
      <c r="H37" t="s">
        <v>28</v>
      </c>
    </row>
    <row r="38" spans="1:8" x14ac:dyDescent="0.3">
      <c r="A38" t="s">
        <v>61</v>
      </c>
      <c r="B38" s="1">
        <v>45302</v>
      </c>
      <c r="C38" t="s">
        <v>27</v>
      </c>
      <c r="D38" t="s">
        <v>16</v>
      </c>
      <c r="E38" t="s">
        <v>11</v>
      </c>
      <c r="F38">
        <v>64</v>
      </c>
      <c r="G38" t="s">
        <v>12</v>
      </c>
      <c r="H38" t="s">
        <v>13</v>
      </c>
    </row>
    <row r="39" spans="1:8" x14ac:dyDescent="0.3">
      <c r="A39" t="s">
        <v>62</v>
      </c>
      <c r="B39" s="1">
        <v>44917</v>
      </c>
      <c r="C39" t="s">
        <v>27</v>
      </c>
      <c r="D39" t="s">
        <v>22</v>
      </c>
      <c r="E39" t="s">
        <v>11</v>
      </c>
      <c r="F39">
        <v>89</v>
      </c>
      <c r="G39" t="s">
        <v>20</v>
      </c>
      <c r="H39" t="s">
        <v>13</v>
      </c>
    </row>
    <row r="40" spans="1:8" x14ac:dyDescent="0.3">
      <c r="A40" t="s">
        <v>63</v>
      </c>
      <c r="B40" s="1">
        <v>44812</v>
      </c>
      <c r="C40" t="s">
        <v>27</v>
      </c>
      <c r="D40" t="s">
        <v>22</v>
      </c>
      <c r="E40" t="s">
        <v>11</v>
      </c>
      <c r="F40">
        <v>12</v>
      </c>
      <c r="G40" t="s">
        <v>12</v>
      </c>
      <c r="H40" t="s">
        <v>13</v>
      </c>
    </row>
    <row r="41" spans="1:8" x14ac:dyDescent="0.3">
      <c r="A41" t="s">
        <v>64</v>
      </c>
      <c r="B41" s="1">
        <v>44689</v>
      </c>
      <c r="C41" t="s">
        <v>27</v>
      </c>
      <c r="D41" t="s">
        <v>19</v>
      </c>
      <c r="E41" t="s">
        <v>11</v>
      </c>
      <c r="F41">
        <v>39</v>
      </c>
      <c r="G41" t="s">
        <v>12</v>
      </c>
      <c r="H41" t="s">
        <v>13</v>
      </c>
    </row>
    <row r="42" spans="1:8" x14ac:dyDescent="0.3">
      <c r="A42" t="s">
        <v>65</v>
      </c>
      <c r="B42" s="1">
        <v>45361</v>
      </c>
      <c r="C42" t="s">
        <v>32</v>
      </c>
      <c r="D42" t="s">
        <v>16</v>
      </c>
      <c r="E42" t="s">
        <v>30</v>
      </c>
      <c r="F42">
        <v>15</v>
      </c>
      <c r="G42" t="s">
        <v>12</v>
      </c>
      <c r="H42" t="s">
        <v>25</v>
      </c>
    </row>
    <row r="43" spans="1:8" x14ac:dyDescent="0.3">
      <c r="A43" t="s">
        <v>66</v>
      </c>
      <c r="B43" s="1">
        <v>45227</v>
      </c>
      <c r="C43" t="s">
        <v>9</v>
      </c>
      <c r="D43" t="s">
        <v>22</v>
      </c>
      <c r="E43" t="s">
        <v>11</v>
      </c>
      <c r="F43">
        <v>70</v>
      </c>
      <c r="G43" t="s">
        <v>12</v>
      </c>
      <c r="H43" t="s">
        <v>13</v>
      </c>
    </row>
    <row r="44" spans="1:8" x14ac:dyDescent="0.3">
      <c r="A44" t="s">
        <v>67</v>
      </c>
      <c r="B44" s="1">
        <v>45166</v>
      </c>
      <c r="C44" t="s">
        <v>15</v>
      </c>
      <c r="D44" t="s">
        <v>10</v>
      </c>
      <c r="E44" t="s">
        <v>11</v>
      </c>
      <c r="F44">
        <v>75</v>
      </c>
      <c r="G44" t="s">
        <v>12</v>
      </c>
      <c r="H44" t="s">
        <v>28</v>
      </c>
    </row>
    <row r="45" spans="1:8" x14ac:dyDescent="0.3">
      <c r="A45" t="s">
        <v>68</v>
      </c>
      <c r="B45" s="1">
        <v>44946</v>
      </c>
      <c r="C45" t="s">
        <v>15</v>
      </c>
      <c r="D45" t="s">
        <v>16</v>
      </c>
      <c r="E45" t="s">
        <v>30</v>
      </c>
      <c r="F45">
        <v>46</v>
      </c>
      <c r="G45" t="s">
        <v>20</v>
      </c>
      <c r="H45" t="s">
        <v>28</v>
      </c>
    </row>
    <row r="46" spans="1:8" x14ac:dyDescent="0.3">
      <c r="A46" t="s">
        <v>69</v>
      </c>
      <c r="B46" s="1">
        <v>45065</v>
      </c>
      <c r="C46" t="s">
        <v>32</v>
      </c>
      <c r="D46" t="s">
        <v>10</v>
      </c>
      <c r="E46" t="s">
        <v>30</v>
      </c>
      <c r="F46">
        <v>4</v>
      </c>
      <c r="G46" t="s">
        <v>20</v>
      </c>
      <c r="H46" t="s">
        <v>25</v>
      </c>
    </row>
    <row r="47" spans="1:8" x14ac:dyDescent="0.3">
      <c r="A47" t="s">
        <v>70</v>
      </c>
      <c r="B47" s="1">
        <v>44969</v>
      </c>
      <c r="C47" t="s">
        <v>15</v>
      </c>
      <c r="D47" t="s">
        <v>24</v>
      </c>
      <c r="E47" t="s">
        <v>30</v>
      </c>
      <c r="F47">
        <v>61</v>
      </c>
      <c r="G47" t="s">
        <v>12</v>
      </c>
      <c r="H47" t="s">
        <v>13</v>
      </c>
    </row>
    <row r="48" spans="1:8" x14ac:dyDescent="0.3">
      <c r="A48" t="s">
        <v>71</v>
      </c>
      <c r="B48" s="1">
        <v>45443</v>
      </c>
      <c r="C48" t="s">
        <v>15</v>
      </c>
      <c r="D48" t="s">
        <v>22</v>
      </c>
      <c r="E48" t="s">
        <v>11</v>
      </c>
      <c r="F48">
        <v>33</v>
      </c>
      <c r="G48" t="s">
        <v>20</v>
      </c>
      <c r="H48" t="s">
        <v>25</v>
      </c>
    </row>
    <row r="49" spans="1:8" x14ac:dyDescent="0.3">
      <c r="A49" t="s">
        <v>72</v>
      </c>
      <c r="B49" s="1">
        <v>45419</v>
      </c>
      <c r="C49" t="s">
        <v>32</v>
      </c>
      <c r="D49" t="s">
        <v>22</v>
      </c>
      <c r="E49" t="s">
        <v>30</v>
      </c>
      <c r="F49">
        <v>18</v>
      </c>
      <c r="G49" t="s">
        <v>20</v>
      </c>
      <c r="H49" t="s">
        <v>13</v>
      </c>
    </row>
    <row r="50" spans="1:8" x14ac:dyDescent="0.3">
      <c r="A50" t="s">
        <v>73</v>
      </c>
      <c r="B50" s="1">
        <v>45441</v>
      </c>
      <c r="C50" t="s">
        <v>27</v>
      </c>
      <c r="D50" t="s">
        <v>10</v>
      </c>
      <c r="E50" t="s">
        <v>30</v>
      </c>
      <c r="F50">
        <v>87</v>
      </c>
      <c r="G50" t="s">
        <v>12</v>
      </c>
      <c r="H50" t="s">
        <v>25</v>
      </c>
    </row>
    <row r="51" spans="1:8" x14ac:dyDescent="0.3">
      <c r="A51" t="s">
        <v>74</v>
      </c>
      <c r="B51" s="1">
        <v>44814</v>
      </c>
      <c r="C51" t="s">
        <v>15</v>
      </c>
      <c r="D51" t="s">
        <v>16</v>
      </c>
      <c r="E51" t="s">
        <v>11</v>
      </c>
      <c r="F51">
        <v>4</v>
      </c>
      <c r="G51" t="s">
        <v>20</v>
      </c>
      <c r="H51" t="s">
        <v>25</v>
      </c>
    </row>
    <row r="52" spans="1:8" x14ac:dyDescent="0.3">
      <c r="A52" t="s">
        <v>75</v>
      </c>
      <c r="B52" s="1">
        <v>44946</v>
      </c>
      <c r="C52" t="s">
        <v>27</v>
      </c>
      <c r="D52" t="s">
        <v>22</v>
      </c>
      <c r="E52" t="s">
        <v>30</v>
      </c>
      <c r="F52">
        <v>87</v>
      </c>
      <c r="G52" t="s">
        <v>20</v>
      </c>
      <c r="H52" t="s">
        <v>25</v>
      </c>
    </row>
    <row r="53" spans="1:8" x14ac:dyDescent="0.3">
      <c r="A53" t="s">
        <v>76</v>
      </c>
      <c r="B53" s="1">
        <v>44571</v>
      </c>
      <c r="C53" t="s">
        <v>9</v>
      </c>
      <c r="D53" t="s">
        <v>22</v>
      </c>
      <c r="E53" t="s">
        <v>30</v>
      </c>
      <c r="F53">
        <v>42</v>
      </c>
      <c r="G53" t="s">
        <v>20</v>
      </c>
      <c r="H53" t="s">
        <v>25</v>
      </c>
    </row>
    <row r="54" spans="1:8" x14ac:dyDescent="0.3">
      <c r="A54" t="s">
        <v>77</v>
      </c>
      <c r="B54" s="1">
        <v>45085</v>
      </c>
      <c r="C54" t="s">
        <v>27</v>
      </c>
      <c r="D54" t="s">
        <v>19</v>
      </c>
      <c r="E54" t="s">
        <v>30</v>
      </c>
      <c r="F54">
        <v>70</v>
      </c>
      <c r="G54" t="s">
        <v>20</v>
      </c>
      <c r="H54" t="s">
        <v>25</v>
      </c>
    </row>
    <row r="55" spans="1:8" x14ac:dyDescent="0.3">
      <c r="A55" t="s">
        <v>78</v>
      </c>
      <c r="B55" s="1">
        <v>44691</v>
      </c>
      <c r="C55" t="s">
        <v>32</v>
      </c>
      <c r="D55" t="s">
        <v>19</v>
      </c>
      <c r="E55" t="s">
        <v>11</v>
      </c>
      <c r="F55">
        <v>5</v>
      </c>
      <c r="G55" t="s">
        <v>12</v>
      </c>
      <c r="H55" t="s">
        <v>25</v>
      </c>
    </row>
    <row r="56" spans="1:8" x14ac:dyDescent="0.3">
      <c r="A56" t="s">
        <v>79</v>
      </c>
      <c r="B56" s="1">
        <v>45034</v>
      </c>
      <c r="C56" t="s">
        <v>15</v>
      </c>
      <c r="D56" t="s">
        <v>22</v>
      </c>
      <c r="E56" t="s">
        <v>11</v>
      </c>
      <c r="F56">
        <v>60</v>
      </c>
      <c r="G56" t="s">
        <v>20</v>
      </c>
      <c r="H56" t="s">
        <v>25</v>
      </c>
    </row>
    <row r="57" spans="1:8" x14ac:dyDescent="0.3">
      <c r="A57" t="s">
        <v>80</v>
      </c>
      <c r="B57" s="1">
        <v>45457</v>
      </c>
      <c r="C57" t="s">
        <v>18</v>
      </c>
      <c r="D57" t="s">
        <v>10</v>
      </c>
      <c r="E57" t="s">
        <v>30</v>
      </c>
      <c r="F57">
        <v>43</v>
      </c>
      <c r="G57" t="s">
        <v>20</v>
      </c>
      <c r="H57" t="s">
        <v>25</v>
      </c>
    </row>
    <row r="58" spans="1:8" x14ac:dyDescent="0.3">
      <c r="A58" t="s">
        <v>81</v>
      </c>
      <c r="B58" s="1">
        <v>44622</v>
      </c>
      <c r="C58" t="s">
        <v>32</v>
      </c>
      <c r="D58" t="s">
        <v>24</v>
      </c>
      <c r="E58" t="s">
        <v>11</v>
      </c>
      <c r="F58">
        <v>5</v>
      </c>
      <c r="G58" t="s">
        <v>20</v>
      </c>
      <c r="H58" t="s">
        <v>25</v>
      </c>
    </row>
    <row r="59" spans="1:8" x14ac:dyDescent="0.3">
      <c r="A59" t="s">
        <v>82</v>
      </c>
      <c r="B59" s="1">
        <v>45226</v>
      </c>
      <c r="C59" t="s">
        <v>18</v>
      </c>
      <c r="D59" t="s">
        <v>10</v>
      </c>
      <c r="E59" t="s">
        <v>11</v>
      </c>
      <c r="F59">
        <v>30</v>
      </c>
      <c r="G59" t="s">
        <v>12</v>
      </c>
      <c r="H59" t="s">
        <v>25</v>
      </c>
    </row>
    <row r="60" spans="1:8" x14ac:dyDescent="0.3">
      <c r="A60" t="s">
        <v>83</v>
      </c>
      <c r="B60" s="1">
        <v>44611</v>
      </c>
      <c r="C60" t="s">
        <v>9</v>
      </c>
      <c r="D60" t="s">
        <v>16</v>
      </c>
      <c r="E60" t="s">
        <v>30</v>
      </c>
      <c r="F60">
        <v>37</v>
      </c>
      <c r="G60" t="s">
        <v>20</v>
      </c>
      <c r="H60" t="s">
        <v>28</v>
      </c>
    </row>
    <row r="61" spans="1:8" x14ac:dyDescent="0.3">
      <c r="A61" t="s">
        <v>84</v>
      </c>
      <c r="B61" s="1">
        <v>45210</v>
      </c>
      <c r="C61" t="s">
        <v>15</v>
      </c>
      <c r="D61" t="s">
        <v>16</v>
      </c>
      <c r="E61" t="s">
        <v>11</v>
      </c>
      <c r="F61">
        <v>88</v>
      </c>
      <c r="G61" t="s">
        <v>12</v>
      </c>
      <c r="H61" t="s">
        <v>25</v>
      </c>
    </row>
    <row r="62" spans="1:8" x14ac:dyDescent="0.3">
      <c r="A62" t="s">
        <v>85</v>
      </c>
      <c r="B62" s="1">
        <v>45457</v>
      </c>
      <c r="C62" t="s">
        <v>18</v>
      </c>
      <c r="D62" t="s">
        <v>10</v>
      </c>
      <c r="E62" t="s">
        <v>11</v>
      </c>
      <c r="F62">
        <v>66</v>
      </c>
      <c r="G62" t="s">
        <v>12</v>
      </c>
      <c r="H62" t="s">
        <v>25</v>
      </c>
    </row>
    <row r="63" spans="1:8" x14ac:dyDescent="0.3">
      <c r="A63" t="s">
        <v>86</v>
      </c>
      <c r="B63" s="1">
        <v>45029</v>
      </c>
      <c r="C63" t="s">
        <v>27</v>
      </c>
      <c r="D63" t="s">
        <v>16</v>
      </c>
      <c r="E63" t="s">
        <v>30</v>
      </c>
      <c r="F63">
        <v>48</v>
      </c>
      <c r="G63" t="s">
        <v>12</v>
      </c>
      <c r="H63" t="s">
        <v>13</v>
      </c>
    </row>
    <row r="64" spans="1:8" x14ac:dyDescent="0.3">
      <c r="A64" t="s">
        <v>87</v>
      </c>
      <c r="B64" s="1">
        <v>44709</v>
      </c>
      <c r="C64" t="s">
        <v>15</v>
      </c>
      <c r="D64" t="s">
        <v>19</v>
      </c>
      <c r="E64" t="s">
        <v>30</v>
      </c>
      <c r="F64">
        <v>13</v>
      </c>
      <c r="G64" t="s">
        <v>12</v>
      </c>
      <c r="H64" t="s">
        <v>28</v>
      </c>
    </row>
    <row r="65" spans="1:8" x14ac:dyDescent="0.3">
      <c r="A65" t="s">
        <v>88</v>
      </c>
      <c r="B65" s="1">
        <v>45136</v>
      </c>
      <c r="C65" t="s">
        <v>18</v>
      </c>
      <c r="D65" t="s">
        <v>22</v>
      </c>
      <c r="E65" t="s">
        <v>11</v>
      </c>
      <c r="F65">
        <v>59</v>
      </c>
      <c r="G65" t="s">
        <v>12</v>
      </c>
      <c r="H65" t="s">
        <v>25</v>
      </c>
    </row>
    <row r="66" spans="1:8" x14ac:dyDescent="0.3">
      <c r="A66" t="s">
        <v>89</v>
      </c>
      <c r="B66" s="1">
        <v>44928</v>
      </c>
      <c r="C66" t="s">
        <v>9</v>
      </c>
      <c r="D66" t="s">
        <v>10</v>
      </c>
      <c r="E66" t="s">
        <v>11</v>
      </c>
      <c r="F66">
        <v>68</v>
      </c>
      <c r="G66" t="s">
        <v>20</v>
      </c>
      <c r="H66" t="s">
        <v>25</v>
      </c>
    </row>
    <row r="67" spans="1:8" x14ac:dyDescent="0.3">
      <c r="A67" t="s">
        <v>90</v>
      </c>
      <c r="B67" s="1">
        <v>45261</v>
      </c>
      <c r="C67" t="s">
        <v>9</v>
      </c>
      <c r="D67" t="s">
        <v>22</v>
      </c>
      <c r="E67" t="s">
        <v>30</v>
      </c>
      <c r="F67">
        <v>8</v>
      </c>
      <c r="G67" t="s">
        <v>20</v>
      </c>
      <c r="H67" t="s">
        <v>28</v>
      </c>
    </row>
    <row r="68" spans="1:8" x14ac:dyDescent="0.3">
      <c r="A68" t="s">
        <v>91</v>
      </c>
      <c r="B68" s="1">
        <v>44771</v>
      </c>
      <c r="C68" t="s">
        <v>27</v>
      </c>
      <c r="D68" t="s">
        <v>16</v>
      </c>
      <c r="E68" t="s">
        <v>11</v>
      </c>
      <c r="F68">
        <v>80</v>
      </c>
      <c r="G68" t="s">
        <v>12</v>
      </c>
      <c r="H68" t="s">
        <v>25</v>
      </c>
    </row>
    <row r="69" spans="1:8" x14ac:dyDescent="0.3">
      <c r="A69" t="s">
        <v>92</v>
      </c>
      <c r="B69" s="1">
        <v>45201</v>
      </c>
      <c r="C69" t="s">
        <v>32</v>
      </c>
      <c r="D69" t="s">
        <v>10</v>
      </c>
      <c r="E69" t="s">
        <v>11</v>
      </c>
      <c r="F69">
        <v>20</v>
      </c>
      <c r="G69" t="s">
        <v>20</v>
      </c>
      <c r="H69" t="s">
        <v>28</v>
      </c>
    </row>
    <row r="70" spans="1:8" x14ac:dyDescent="0.3">
      <c r="A70" t="s">
        <v>93</v>
      </c>
      <c r="B70" s="1">
        <v>45402</v>
      </c>
      <c r="C70" t="s">
        <v>32</v>
      </c>
      <c r="D70" t="s">
        <v>10</v>
      </c>
      <c r="E70" t="s">
        <v>11</v>
      </c>
      <c r="F70">
        <v>63</v>
      </c>
      <c r="G70" t="s">
        <v>20</v>
      </c>
      <c r="H70" t="s">
        <v>25</v>
      </c>
    </row>
    <row r="71" spans="1:8" x14ac:dyDescent="0.3">
      <c r="A71" t="s">
        <v>94</v>
      </c>
      <c r="B71" s="1">
        <v>45360</v>
      </c>
      <c r="C71" t="s">
        <v>15</v>
      </c>
      <c r="D71" t="s">
        <v>22</v>
      </c>
      <c r="E71" t="s">
        <v>30</v>
      </c>
      <c r="F71">
        <v>38</v>
      </c>
      <c r="G71" t="s">
        <v>12</v>
      </c>
      <c r="H71" t="s">
        <v>28</v>
      </c>
    </row>
    <row r="72" spans="1:8" x14ac:dyDescent="0.3">
      <c r="A72" t="s">
        <v>95</v>
      </c>
      <c r="B72" s="1">
        <v>44918</v>
      </c>
      <c r="C72" t="s">
        <v>15</v>
      </c>
      <c r="D72" t="s">
        <v>24</v>
      </c>
      <c r="E72" t="s">
        <v>30</v>
      </c>
      <c r="F72">
        <v>9</v>
      </c>
      <c r="G72" t="s">
        <v>20</v>
      </c>
      <c r="H72" t="s">
        <v>25</v>
      </c>
    </row>
    <row r="73" spans="1:8" x14ac:dyDescent="0.3">
      <c r="A73" t="s">
        <v>96</v>
      </c>
      <c r="B73" s="1">
        <v>45211</v>
      </c>
      <c r="C73" t="s">
        <v>18</v>
      </c>
      <c r="D73" t="s">
        <v>16</v>
      </c>
      <c r="E73" t="s">
        <v>11</v>
      </c>
      <c r="F73">
        <v>85</v>
      </c>
      <c r="G73" t="s">
        <v>20</v>
      </c>
      <c r="H73" t="s">
        <v>28</v>
      </c>
    </row>
    <row r="74" spans="1:8" x14ac:dyDescent="0.3">
      <c r="A74" t="s">
        <v>97</v>
      </c>
      <c r="B74" s="1">
        <v>45394</v>
      </c>
      <c r="C74" t="s">
        <v>32</v>
      </c>
      <c r="D74" t="s">
        <v>10</v>
      </c>
      <c r="E74" t="s">
        <v>11</v>
      </c>
      <c r="F74">
        <v>53</v>
      </c>
      <c r="G74" t="s">
        <v>20</v>
      </c>
      <c r="H74" t="s">
        <v>25</v>
      </c>
    </row>
    <row r="75" spans="1:8" x14ac:dyDescent="0.3">
      <c r="A75" t="s">
        <v>98</v>
      </c>
      <c r="B75" s="1">
        <v>45183</v>
      </c>
      <c r="C75" t="s">
        <v>9</v>
      </c>
      <c r="D75" t="s">
        <v>16</v>
      </c>
      <c r="E75" t="s">
        <v>11</v>
      </c>
      <c r="F75">
        <v>70</v>
      </c>
      <c r="G75" t="s">
        <v>20</v>
      </c>
      <c r="H75" t="s">
        <v>13</v>
      </c>
    </row>
    <row r="76" spans="1:8" x14ac:dyDescent="0.3">
      <c r="A76" t="s">
        <v>99</v>
      </c>
      <c r="B76" s="1">
        <v>45160</v>
      </c>
      <c r="C76" t="s">
        <v>15</v>
      </c>
      <c r="D76" t="s">
        <v>24</v>
      </c>
      <c r="E76" t="s">
        <v>30</v>
      </c>
      <c r="F76">
        <v>19</v>
      </c>
      <c r="G76" t="s">
        <v>20</v>
      </c>
      <c r="H76" t="s">
        <v>25</v>
      </c>
    </row>
    <row r="77" spans="1:8" x14ac:dyDescent="0.3">
      <c r="A77" t="s">
        <v>100</v>
      </c>
      <c r="B77" s="1">
        <v>45342</v>
      </c>
      <c r="C77" t="s">
        <v>18</v>
      </c>
      <c r="D77" t="s">
        <v>10</v>
      </c>
      <c r="E77" t="s">
        <v>30</v>
      </c>
      <c r="F77">
        <v>18</v>
      </c>
      <c r="G77" t="s">
        <v>12</v>
      </c>
      <c r="H77" t="s">
        <v>25</v>
      </c>
    </row>
    <row r="78" spans="1:8" x14ac:dyDescent="0.3">
      <c r="A78" t="s">
        <v>101</v>
      </c>
      <c r="B78" s="1">
        <v>45144</v>
      </c>
      <c r="C78" t="s">
        <v>18</v>
      </c>
      <c r="D78" t="s">
        <v>22</v>
      </c>
      <c r="E78" t="s">
        <v>11</v>
      </c>
      <c r="F78">
        <v>21</v>
      </c>
      <c r="G78" t="s">
        <v>20</v>
      </c>
      <c r="H78" t="s">
        <v>13</v>
      </c>
    </row>
    <row r="79" spans="1:8" x14ac:dyDescent="0.3">
      <c r="A79" t="s">
        <v>102</v>
      </c>
      <c r="B79" s="1">
        <v>45150</v>
      </c>
      <c r="C79" t="s">
        <v>27</v>
      </c>
      <c r="D79" t="s">
        <v>22</v>
      </c>
      <c r="E79" t="s">
        <v>11</v>
      </c>
      <c r="F79">
        <v>74</v>
      </c>
      <c r="G79" t="s">
        <v>20</v>
      </c>
      <c r="H79" t="s">
        <v>28</v>
      </c>
    </row>
    <row r="80" spans="1:8" x14ac:dyDescent="0.3">
      <c r="A80" t="s">
        <v>103</v>
      </c>
      <c r="B80" s="1">
        <v>45014</v>
      </c>
      <c r="C80" t="s">
        <v>18</v>
      </c>
      <c r="D80" t="s">
        <v>10</v>
      </c>
      <c r="E80" t="s">
        <v>11</v>
      </c>
      <c r="F80">
        <v>59</v>
      </c>
      <c r="G80" t="s">
        <v>12</v>
      </c>
      <c r="H80" t="s">
        <v>25</v>
      </c>
    </row>
    <row r="81" spans="1:8" x14ac:dyDescent="0.3">
      <c r="A81" t="s">
        <v>104</v>
      </c>
      <c r="B81" s="1">
        <v>45296</v>
      </c>
      <c r="C81" t="s">
        <v>18</v>
      </c>
      <c r="D81" t="s">
        <v>24</v>
      </c>
      <c r="E81" t="s">
        <v>11</v>
      </c>
      <c r="F81">
        <v>32</v>
      </c>
      <c r="G81" t="s">
        <v>12</v>
      </c>
      <c r="H81" t="s">
        <v>28</v>
      </c>
    </row>
    <row r="82" spans="1:8" x14ac:dyDescent="0.3">
      <c r="A82" t="s">
        <v>105</v>
      </c>
      <c r="B82" s="1">
        <v>45352</v>
      </c>
      <c r="C82" t="s">
        <v>9</v>
      </c>
      <c r="D82" t="s">
        <v>22</v>
      </c>
      <c r="E82" t="s">
        <v>30</v>
      </c>
      <c r="F82">
        <v>56</v>
      </c>
      <c r="G82" t="s">
        <v>12</v>
      </c>
      <c r="H82" t="s">
        <v>25</v>
      </c>
    </row>
    <row r="83" spans="1:8" x14ac:dyDescent="0.3">
      <c r="A83" t="s">
        <v>106</v>
      </c>
      <c r="B83" s="1">
        <v>44719</v>
      </c>
      <c r="C83" t="s">
        <v>18</v>
      </c>
      <c r="D83" t="s">
        <v>24</v>
      </c>
      <c r="E83" t="s">
        <v>11</v>
      </c>
      <c r="F83">
        <v>58</v>
      </c>
      <c r="G83" t="s">
        <v>12</v>
      </c>
      <c r="H83" t="s">
        <v>13</v>
      </c>
    </row>
    <row r="84" spans="1:8" x14ac:dyDescent="0.3">
      <c r="A84" t="s">
        <v>107</v>
      </c>
      <c r="B84" s="1">
        <v>45059</v>
      </c>
      <c r="C84" t="s">
        <v>27</v>
      </c>
      <c r="D84" t="s">
        <v>16</v>
      </c>
      <c r="E84" t="s">
        <v>11</v>
      </c>
      <c r="F84">
        <v>52</v>
      </c>
      <c r="G84" t="s">
        <v>12</v>
      </c>
      <c r="H84" t="s">
        <v>25</v>
      </c>
    </row>
    <row r="85" spans="1:8" x14ac:dyDescent="0.3">
      <c r="A85" t="s">
        <v>108</v>
      </c>
      <c r="B85" s="1">
        <v>44632</v>
      </c>
      <c r="C85" t="s">
        <v>15</v>
      </c>
      <c r="D85" t="s">
        <v>24</v>
      </c>
      <c r="E85" t="s">
        <v>11</v>
      </c>
      <c r="F85">
        <v>27</v>
      </c>
      <c r="G85" t="s">
        <v>12</v>
      </c>
      <c r="H85" t="s">
        <v>28</v>
      </c>
    </row>
    <row r="86" spans="1:8" x14ac:dyDescent="0.3">
      <c r="A86" t="s">
        <v>109</v>
      </c>
      <c r="B86" s="1">
        <v>44701</v>
      </c>
      <c r="C86" t="s">
        <v>32</v>
      </c>
      <c r="D86" t="s">
        <v>10</v>
      </c>
      <c r="E86" t="s">
        <v>11</v>
      </c>
      <c r="F86">
        <v>9</v>
      </c>
      <c r="G86" t="s">
        <v>20</v>
      </c>
      <c r="H86" t="s">
        <v>13</v>
      </c>
    </row>
    <row r="87" spans="1:8" x14ac:dyDescent="0.3">
      <c r="A87" t="s">
        <v>110</v>
      </c>
      <c r="B87" s="1">
        <v>44850</v>
      </c>
      <c r="C87" t="s">
        <v>9</v>
      </c>
      <c r="D87" t="s">
        <v>10</v>
      </c>
      <c r="E87" t="s">
        <v>11</v>
      </c>
      <c r="F87">
        <v>30</v>
      </c>
      <c r="G87" t="s">
        <v>12</v>
      </c>
      <c r="H87" t="s">
        <v>25</v>
      </c>
    </row>
    <row r="88" spans="1:8" x14ac:dyDescent="0.3">
      <c r="A88" t="s">
        <v>111</v>
      </c>
      <c r="B88" s="1">
        <v>45446</v>
      </c>
      <c r="C88" t="s">
        <v>18</v>
      </c>
      <c r="D88" t="s">
        <v>10</v>
      </c>
      <c r="E88" t="s">
        <v>30</v>
      </c>
      <c r="F88">
        <v>30</v>
      </c>
      <c r="G88" t="s">
        <v>20</v>
      </c>
      <c r="H88" t="s">
        <v>28</v>
      </c>
    </row>
    <row r="89" spans="1:8" x14ac:dyDescent="0.3">
      <c r="A89" t="s">
        <v>112</v>
      </c>
      <c r="B89" s="1">
        <v>44933</v>
      </c>
      <c r="C89" t="s">
        <v>32</v>
      </c>
      <c r="D89" t="s">
        <v>22</v>
      </c>
      <c r="E89" t="s">
        <v>11</v>
      </c>
      <c r="F89">
        <v>28</v>
      </c>
      <c r="G89" t="s">
        <v>20</v>
      </c>
      <c r="H89" t="s">
        <v>25</v>
      </c>
    </row>
    <row r="90" spans="1:8" x14ac:dyDescent="0.3">
      <c r="A90" t="s">
        <v>113</v>
      </c>
      <c r="B90" s="1">
        <v>44629</v>
      </c>
      <c r="C90" t="s">
        <v>27</v>
      </c>
      <c r="D90" t="s">
        <v>22</v>
      </c>
      <c r="E90" t="s">
        <v>11</v>
      </c>
      <c r="F90">
        <v>51</v>
      </c>
      <c r="G90" t="s">
        <v>20</v>
      </c>
      <c r="H90" t="s">
        <v>25</v>
      </c>
    </row>
    <row r="91" spans="1:8" x14ac:dyDescent="0.3">
      <c r="A91" t="s">
        <v>114</v>
      </c>
      <c r="B91" s="1">
        <v>44776</v>
      </c>
      <c r="C91" t="s">
        <v>9</v>
      </c>
      <c r="D91" t="s">
        <v>22</v>
      </c>
      <c r="E91" t="s">
        <v>11</v>
      </c>
      <c r="F91">
        <v>59</v>
      </c>
      <c r="G91" t="s">
        <v>12</v>
      </c>
      <c r="H91" t="s">
        <v>28</v>
      </c>
    </row>
    <row r="92" spans="1:8" x14ac:dyDescent="0.3">
      <c r="A92" t="s">
        <v>115</v>
      </c>
      <c r="B92" s="1">
        <v>45192</v>
      </c>
      <c r="C92" t="s">
        <v>9</v>
      </c>
      <c r="D92" t="s">
        <v>24</v>
      </c>
      <c r="E92" t="s">
        <v>11</v>
      </c>
      <c r="F92">
        <v>1</v>
      </c>
      <c r="G92" t="s">
        <v>20</v>
      </c>
      <c r="H92" t="s">
        <v>28</v>
      </c>
    </row>
    <row r="93" spans="1:8" x14ac:dyDescent="0.3">
      <c r="A93" t="s">
        <v>116</v>
      </c>
      <c r="B93" s="1">
        <v>45325</v>
      </c>
      <c r="C93" t="s">
        <v>15</v>
      </c>
      <c r="D93" t="s">
        <v>24</v>
      </c>
      <c r="E93" t="s">
        <v>11</v>
      </c>
      <c r="F93">
        <v>49</v>
      </c>
      <c r="G93" t="s">
        <v>12</v>
      </c>
      <c r="H93" t="s">
        <v>25</v>
      </c>
    </row>
    <row r="94" spans="1:8" x14ac:dyDescent="0.3">
      <c r="A94" t="s">
        <v>117</v>
      </c>
      <c r="B94" s="1">
        <v>45313</v>
      </c>
      <c r="C94" t="s">
        <v>9</v>
      </c>
      <c r="D94" t="s">
        <v>19</v>
      </c>
      <c r="E94" t="s">
        <v>30</v>
      </c>
      <c r="F94">
        <v>23</v>
      </c>
      <c r="G94" t="s">
        <v>20</v>
      </c>
      <c r="H94" t="s">
        <v>28</v>
      </c>
    </row>
    <row r="95" spans="1:8" x14ac:dyDescent="0.3">
      <c r="A95" t="s">
        <v>118</v>
      </c>
      <c r="B95" s="1">
        <v>45369</v>
      </c>
      <c r="C95" t="s">
        <v>18</v>
      </c>
      <c r="D95" t="s">
        <v>22</v>
      </c>
      <c r="E95" t="s">
        <v>11</v>
      </c>
      <c r="F95">
        <v>19</v>
      </c>
      <c r="G95" t="s">
        <v>12</v>
      </c>
      <c r="H95" t="s">
        <v>13</v>
      </c>
    </row>
    <row r="96" spans="1:8" x14ac:dyDescent="0.3">
      <c r="A96" t="s">
        <v>119</v>
      </c>
      <c r="B96" s="1">
        <v>44846</v>
      </c>
      <c r="C96" t="s">
        <v>18</v>
      </c>
      <c r="D96" t="s">
        <v>19</v>
      </c>
      <c r="E96" t="s">
        <v>11</v>
      </c>
      <c r="F96">
        <v>51</v>
      </c>
      <c r="G96" t="s">
        <v>20</v>
      </c>
      <c r="H96" t="s">
        <v>28</v>
      </c>
    </row>
    <row r="97" spans="1:8" x14ac:dyDescent="0.3">
      <c r="A97" t="s">
        <v>120</v>
      </c>
      <c r="B97" s="1">
        <v>45142</v>
      </c>
      <c r="C97" t="s">
        <v>18</v>
      </c>
      <c r="D97" t="s">
        <v>22</v>
      </c>
      <c r="E97" t="s">
        <v>11</v>
      </c>
      <c r="F97">
        <v>54</v>
      </c>
      <c r="G97" t="s">
        <v>12</v>
      </c>
      <c r="H97" t="s">
        <v>25</v>
      </c>
    </row>
    <row r="98" spans="1:8" x14ac:dyDescent="0.3">
      <c r="A98" t="s">
        <v>121</v>
      </c>
      <c r="B98" s="1">
        <v>44640</v>
      </c>
      <c r="C98" t="s">
        <v>9</v>
      </c>
      <c r="D98" t="s">
        <v>22</v>
      </c>
      <c r="E98" t="s">
        <v>11</v>
      </c>
      <c r="F98">
        <v>19</v>
      </c>
      <c r="G98" t="s">
        <v>20</v>
      </c>
      <c r="H98" t="s">
        <v>25</v>
      </c>
    </row>
    <row r="99" spans="1:8" x14ac:dyDescent="0.3">
      <c r="A99" t="s">
        <v>122</v>
      </c>
      <c r="B99" s="1">
        <v>45234</v>
      </c>
      <c r="C99" t="s">
        <v>27</v>
      </c>
      <c r="D99" t="s">
        <v>24</v>
      </c>
      <c r="E99" t="s">
        <v>11</v>
      </c>
      <c r="F99">
        <v>60</v>
      </c>
      <c r="G99" t="s">
        <v>12</v>
      </c>
      <c r="H99" t="s">
        <v>28</v>
      </c>
    </row>
    <row r="100" spans="1:8" x14ac:dyDescent="0.3">
      <c r="A100" t="s">
        <v>123</v>
      </c>
      <c r="B100" s="1">
        <v>45191</v>
      </c>
      <c r="C100" t="s">
        <v>9</v>
      </c>
      <c r="D100" t="s">
        <v>19</v>
      </c>
      <c r="E100" t="s">
        <v>11</v>
      </c>
      <c r="F100">
        <v>7</v>
      </c>
      <c r="G100" t="s">
        <v>12</v>
      </c>
      <c r="H100" t="s">
        <v>25</v>
      </c>
    </row>
    <row r="101" spans="1:8" x14ac:dyDescent="0.3">
      <c r="A101" t="s">
        <v>124</v>
      </c>
      <c r="B101" s="1">
        <v>45311</v>
      </c>
      <c r="C101" t="s">
        <v>27</v>
      </c>
      <c r="D101" t="s">
        <v>24</v>
      </c>
      <c r="E101" t="s">
        <v>30</v>
      </c>
      <c r="F101">
        <v>77</v>
      </c>
      <c r="G101" t="s">
        <v>12</v>
      </c>
      <c r="H101" t="s">
        <v>28</v>
      </c>
    </row>
    <row r="102" spans="1:8" x14ac:dyDescent="0.3">
      <c r="A102" t="s">
        <v>125</v>
      </c>
      <c r="B102" s="1">
        <v>45110</v>
      </c>
      <c r="C102" t="s">
        <v>18</v>
      </c>
      <c r="D102" t="s">
        <v>19</v>
      </c>
      <c r="E102" t="s">
        <v>30</v>
      </c>
      <c r="F102">
        <v>75</v>
      </c>
      <c r="G102" t="s">
        <v>20</v>
      </c>
      <c r="H102" t="s">
        <v>25</v>
      </c>
    </row>
    <row r="103" spans="1:8" x14ac:dyDescent="0.3">
      <c r="A103" t="s">
        <v>126</v>
      </c>
      <c r="B103" s="1">
        <v>44648</v>
      </c>
      <c r="C103" t="s">
        <v>27</v>
      </c>
      <c r="D103" t="s">
        <v>16</v>
      </c>
      <c r="E103" t="s">
        <v>30</v>
      </c>
      <c r="F103">
        <v>38</v>
      </c>
      <c r="G103" t="s">
        <v>20</v>
      </c>
      <c r="H103" t="s">
        <v>13</v>
      </c>
    </row>
    <row r="104" spans="1:8" x14ac:dyDescent="0.3">
      <c r="A104" t="s">
        <v>127</v>
      </c>
      <c r="B104" s="1">
        <v>45167</v>
      </c>
      <c r="C104" t="s">
        <v>15</v>
      </c>
      <c r="D104" t="s">
        <v>19</v>
      </c>
      <c r="E104" t="s">
        <v>11</v>
      </c>
      <c r="F104">
        <v>80</v>
      </c>
      <c r="G104" t="s">
        <v>20</v>
      </c>
      <c r="H104" t="s">
        <v>25</v>
      </c>
    </row>
    <row r="105" spans="1:8" x14ac:dyDescent="0.3">
      <c r="A105" t="s">
        <v>128</v>
      </c>
      <c r="B105" s="1">
        <v>45329</v>
      </c>
      <c r="C105" t="s">
        <v>18</v>
      </c>
      <c r="D105" t="s">
        <v>24</v>
      </c>
      <c r="E105" t="s">
        <v>11</v>
      </c>
      <c r="F105">
        <v>59</v>
      </c>
      <c r="G105" t="s">
        <v>20</v>
      </c>
      <c r="H105" t="s">
        <v>13</v>
      </c>
    </row>
    <row r="106" spans="1:8" x14ac:dyDescent="0.3">
      <c r="A106" t="s">
        <v>129</v>
      </c>
      <c r="B106" s="1">
        <v>45378</v>
      </c>
      <c r="C106" t="s">
        <v>27</v>
      </c>
      <c r="D106" t="s">
        <v>16</v>
      </c>
      <c r="E106" t="s">
        <v>11</v>
      </c>
      <c r="F106">
        <v>28</v>
      </c>
      <c r="G106" t="s">
        <v>12</v>
      </c>
      <c r="H106" t="s">
        <v>28</v>
      </c>
    </row>
    <row r="107" spans="1:8" x14ac:dyDescent="0.3">
      <c r="A107" t="s">
        <v>130</v>
      </c>
      <c r="B107" s="1">
        <v>45351</v>
      </c>
      <c r="C107" t="s">
        <v>32</v>
      </c>
      <c r="D107" t="s">
        <v>22</v>
      </c>
      <c r="E107" t="s">
        <v>11</v>
      </c>
      <c r="F107">
        <v>22</v>
      </c>
      <c r="G107" t="s">
        <v>20</v>
      </c>
      <c r="H107" t="s">
        <v>13</v>
      </c>
    </row>
    <row r="108" spans="1:8" x14ac:dyDescent="0.3">
      <c r="A108" t="s">
        <v>131</v>
      </c>
      <c r="B108" s="1">
        <v>45151</v>
      </c>
      <c r="C108" t="s">
        <v>15</v>
      </c>
      <c r="D108" t="s">
        <v>24</v>
      </c>
      <c r="E108" t="s">
        <v>11</v>
      </c>
      <c r="F108">
        <v>66</v>
      </c>
      <c r="G108" t="s">
        <v>20</v>
      </c>
      <c r="H108" t="s">
        <v>28</v>
      </c>
    </row>
    <row r="109" spans="1:8" x14ac:dyDescent="0.3">
      <c r="A109" t="s">
        <v>132</v>
      </c>
      <c r="B109" s="1">
        <v>44999</v>
      </c>
      <c r="C109" t="s">
        <v>32</v>
      </c>
      <c r="D109" t="s">
        <v>19</v>
      </c>
      <c r="E109" t="s">
        <v>30</v>
      </c>
      <c r="F109">
        <v>34</v>
      </c>
      <c r="G109" t="s">
        <v>12</v>
      </c>
      <c r="H109" t="s">
        <v>28</v>
      </c>
    </row>
    <row r="110" spans="1:8" x14ac:dyDescent="0.3">
      <c r="A110" t="s">
        <v>133</v>
      </c>
      <c r="B110" s="1">
        <v>45341</v>
      </c>
      <c r="C110" t="s">
        <v>18</v>
      </c>
      <c r="D110" t="s">
        <v>16</v>
      </c>
      <c r="E110" t="s">
        <v>11</v>
      </c>
      <c r="F110">
        <v>82</v>
      </c>
      <c r="G110" t="s">
        <v>20</v>
      </c>
      <c r="H110" t="s">
        <v>28</v>
      </c>
    </row>
    <row r="111" spans="1:8" x14ac:dyDescent="0.3">
      <c r="A111" t="s">
        <v>134</v>
      </c>
      <c r="B111" s="1">
        <v>44639</v>
      </c>
      <c r="C111" t="s">
        <v>15</v>
      </c>
      <c r="D111" t="s">
        <v>19</v>
      </c>
      <c r="E111" t="s">
        <v>30</v>
      </c>
      <c r="F111">
        <v>6</v>
      </c>
      <c r="G111" t="s">
        <v>12</v>
      </c>
      <c r="H111" t="s">
        <v>13</v>
      </c>
    </row>
    <row r="112" spans="1:8" x14ac:dyDescent="0.3">
      <c r="A112" t="s">
        <v>135</v>
      </c>
      <c r="B112" s="1">
        <v>44844</v>
      </c>
      <c r="C112" t="s">
        <v>9</v>
      </c>
      <c r="D112" t="s">
        <v>19</v>
      </c>
      <c r="E112" t="s">
        <v>30</v>
      </c>
      <c r="F112">
        <v>83</v>
      </c>
      <c r="G112" t="s">
        <v>12</v>
      </c>
      <c r="H112" t="s">
        <v>28</v>
      </c>
    </row>
    <row r="113" spans="1:8" x14ac:dyDescent="0.3">
      <c r="A113" t="s">
        <v>136</v>
      </c>
      <c r="B113" s="1">
        <v>44981</v>
      </c>
      <c r="C113" t="s">
        <v>9</v>
      </c>
      <c r="D113" t="s">
        <v>10</v>
      </c>
      <c r="E113" t="s">
        <v>30</v>
      </c>
      <c r="F113">
        <v>16</v>
      </c>
      <c r="G113" t="s">
        <v>20</v>
      </c>
      <c r="H113" t="s">
        <v>28</v>
      </c>
    </row>
    <row r="114" spans="1:8" x14ac:dyDescent="0.3">
      <c r="A114" t="s">
        <v>137</v>
      </c>
      <c r="B114" s="1">
        <v>44656</v>
      </c>
      <c r="C114" t="s">
        <v>32</v>
      </c>
      <c r="D114" t="s">
        <v>10</v>
      </c>
      <c r="E114" t="s">
        <v>30</v>
      </c>
      <c r="F114">
        <v>60</v>
      </c>
      <c r="G114" t="s">
        <v>20</v>
      </c>
      <c r="H114" t="s">
        <v>13</v>
      </c>
    </row>
    <row r="115" spans="1:8" x14ac:dyDescent="0.3">
      <c r="A115" t="s">
        <v>138</v>
      </c>
      <c r="B115" s="1">
        <v>44606</v>
      </c>
      <c r="C115" t="s">
        <v>27</v>
      </c>
      <c r="D115" t="s">
        <v>24</v>
      </c>
      <c r="E115" t="s">
        <v>11</v>
      </c>
      <c r="F115">
        <v>41</v>
      </c>
      <c r="G115" t="s">
        <v>12</v>
      </c>
      <c r="H115" t="s">
        <v>28</v>
      </c>
    </row>
    <row r="116" spans="1:8" x14ac:dyDescent="0.3">
      <c r="A116" t="s">
        <v>139</v>
      </c>
      <c r="B116" s="1">
        <v>45401</v>
      </c>
      <c r="C116" t="s">
        <v>9</v>
      </c>
      <c r="D116" t="s">
        <v>24</v>
      </c>
      <c r="E116" t="s">
        <v>30</v>
      </c>
      <c r="F116">
        <v>7</v>
      </c>
      <c r="G116" t="s">
        <v>20</v>
      </c>
      <c r="H116" t="s">
        <v>28</v>
      </c>
    </row>
    <row r="117" spans="1:8" x14ac:dyDescent="0.3">
      <c r="A117" t="s">
        <v>140</v>
      </c>
      <c r="B117" s="1">
        <v>44660</v>
      </c>
      <c r="C117" t="s">
        <v>32</v>
      </c>
      <c r="D117" t="s">
        <v>22</v>
      </c>
      <c r="E117" t="s">
        <v>11</v>
      </c>
      <c r="F117">
        <v>1</v>
      </c>
      <c r="G117" t="s">
        <v>12</v>
      </c>
      <c r="H117" t="s">
        <v>25</v>
      </c>
    </row>
    <row r="118" spans="1:8" x14ac:dyDescent="0.3">
      <c r="A118" t="s">
        <v>141</v>
      </c>
      <c r="B118" s="1">
        <v>45219</v>
      </c>
      <c r="C118" t="s">
        <v>9</v>
      </c>
      <c r="D118" t="s">
        <v>19</v>
      </c>
      <c r="E118" t="s">
        <v>30</v>
      </c>
      <c r="F118">
        <v>36</v>
      </c>
      <c r="G118" t="s">
        <v>20</v>
      </c>
      <c r="H118" t="s">
        <v>13</v>
      </c>
    </row>
    <row r="119" spans="1:8" x14ac:dyDescent="0.3">
      <c r="A119" t="s">
        <v>142</v>
      </c>
      <c r="B119" s="1">
        <v>44744</v>
      </c>
      <c r="C119" t="s">
        <v>32</v>
      </c>
      <c r="D119" t="s">
        <v>24</v>
      </c>
      <c r="E119" t="s">
        <v>30</v>
      </c>
      <c r="F119">
        <v>38</v>
      </c>
      <c r="G119" t="s">
        <v>12</v>
      </c>
      <c r="H119" t="s">
        <v>13</v>
      </c>
    </row>
    <row r="120" spans="1:8" x14ac:dyDescent="0.3">
      <c r="A120" t="s">
        <v>143</v>
      </c>
      <c r="B120" s="1">
        <v>44800</v>
      </c>
      <c r="C120" t="s">
        <v>32</v>
      </c>
      <c r="D120" t="s">
        <v>24</v>
      </c>
      <c r="E120" t="s">
        <v>30</v>
      </c>
      <c r="F120">
        <v>29</v>
      </c>
      <c r="G120" t="s">
        <v>20</v>
      </c>
      <c r="H120" t="s">
        <v>28</v>
      </c>
    </row>
    <row r="121" spans="1:8" x14ac:dyDescent="0.3">
      <c r="A121" t="s">
        <v>144</v>
      </c>
      <c r="B121" s="1">
        <v>44680</v>
      </c>
      <c r="C121" t="s">
        <v>18</v>
      </c>
      <c r="D121" t="s">
        <v>19</v>
      </c>
      <c r="E121" t="s">
        <v>30</v>
      </c>
      <c r="F121">
        <v>32</v>
      </c>
      <c r="G121" t="s">
        <v>20</v>
      </c>
      <c r="H121" t="s">
        <v>28</v>
      </c>
    </row>
    <row r="122" spans="1:8" x14ac:dyDescent="0.3">
      <c r="A122" t="s">
        <v>145</v>
      </c>
      <c r="B122" s="1">
        <v>44813</v>
      </c>
      <c r="C122" t="s">
        <v>9</v>
      </c>
      <c r="D122" t="s">
        <v>24</v>
      </c>
      <c r="E122" t="s">
        <v>30</v>
      </c>
      <c r="F122">
        <v>54</v>
      </c>
      <c r="G122" t="s">
        <v>12</v>
      </c>
      <c r="H122" t="s">
        <v>13</v>
      </c>
    </row>
    <row r="123" spans="1:8" x14ac:dyDescent="0.3">
      <c r="A123" t="s">
        <v>146</v>
      </c>
      <c r="B123" s="1">
        <v>44992</v>
      </c>
      <c r="C123" t="s">
        <v>15</v>
      </c>
      <c r="D123" t="s">
        <v>16</v>
      </c>
      <c r="E123" t="s">
        <v>11</v>
      </c>
      <c r="F123">
        <v>82</v>
      </c>
      <c r="G123" t="s">
        <v>12</v>
      </c>
      <c r="H123" t="s">
        <v>13</v>
      </c>
    </row>
    <row r="124" spans="1:8" x14ac:dyDescent="0.3">
      <c r="A124" t="s">
        <v>147</v>
      </c>
      <c r="B124" s="1">
        <v>45182</v>
      </c>
      <c r="C124" t="s">
        <v>32</v>
      </c>
      <c r="D124" t="s">
        <v>24</v>
      </c>
      <c r="E124" t="s">
        <v>30</v>
      </c>
      <c r="F124">
        <v>15</v>
      </c>
      <c r="G124" t="s">
        <v>20</v>
      </c>
      <c r="H124" t="s">
        <v>28</v>
      </c>
    </row>
    <row r="125" spans="1:8" x14ac:dyDescent="0.3">
      <c r="A125" t="s">
        <v>148</v>
      </c>
      <c r="B125" s="1">
        <v>44833</v>
      </c>
      <c r="C125" t="s">
        <v>32</v>
      </c>
      <c r="D125" t="s">
        <v>10</v>
      </c>
      <c r="E125" t="s">
        <v>11</v>
      </c>
      <c r="F125">
        <v>37</v>
      </c>
      <c r="G125" t="s">
        <v>12</v>
      </c>
      <c r="H125" t="s">
        <v>28</v>
      </c>
    </row>
    <row r="126" spans="1:8" x14ac:dyDescent="0.3">
      <c r="A126" t="s">
        <v>149</v>
      </c>
      <c r="B126" s="1">
        <v>44583</v>
      </c>
      <c r="C126" t="s">
        <v>15</v>
      </c>
      <c r="D126" t="s">
        <v>10</v>
      </c>
      <c r="E126" t="s">
        <v>11</v>
      </c>
      <c r="F126">
        <v>61</v>
      </c>
      <c r="G126" t="s">
        <v>20</v>
      </c>
      <c r="H126" t="s">
        <v>13</v>
      </c>
    </row>
    <row r="127" spans="1:8" x14ac:dyDescent="0.3">
      <c r="A127" t="s">
        <v>150</v>
      </c>
      <c r="B127" s="1">
        <v>44718</v>
      </c>
      <c r="C127" t="s">
        <v>18</v>
      </c>
      <c r="D127" t="s">
        <v>24</v>
      </c>
      <c r="E127" t="s">
        <v>30</v>
      </c>
      <c r="F127">
        <v>21</v>
      </c>
      <c r="G127" t="s">
        <v>12</v>
      </c>
      <c r="H127" t="s">
        <v>13</v>
      </c>
    </row>
    <row r="128" spans="1:8" x14ac:dyDescent="0.3">
      <c r="A128" t="s">
        <v>151</v>
      </c>
      <c r="B128" s="1">
        <v>45082</v>
      </c>
      <c r="C128" t="s">
        <v>27</v>
      </c>
      <c r="D128" t="s">
        <v>22</v>
      </c>
      <c r="E128" t="s">
        <v>11</v>
      </c>
      <c r="F128">
        <v>2</v>
      </c>
      <c r="G128" t="s">
        <v>12</v>
      </c>
      <c r="H128" t="s">
        <v>25</v>
      </c>
    </row>
    <row r="129" spans="1:8" x14ac:dyDescent="0.3">
      <c r="A129" t="s">
        <v>152</v>
      </c>
      <c r="B129" s="1">
        <v>45109</v>
      </c>
      <c r="C129" t="s">
        <v>18</v>
      </c>
      <c r="D129" t="s">
        <v>10</v>
      </c>
      <c r="E129" t="s">
        <v>30</v>
      </c>
      <c r="F129">
        <v>68</v>
      </c>
      <c r="G129" t="s">
        <v>20</v>
      </c>
      <c r="H129" t="s">
        <v>28</v>
      </c>
    </row>
    <row r="130" spans="1:8" x14ac:dyDescent="0.3">
      <c r="A130" t="s">
        <v>153</v>
      </c>
      <c r="B130" s="1">
        <v>44683</v>
      </c>
      <c r="C130" t="s">
        <v>9</v>
      </c>
      <c r="D130" t="s">
        <v>10</v>
      </c>
      <c r="E130" t="s">
        <v>11</v>
      </c>
      <c r="F130">
        <v>15</v>
      </c>
      <c r="G130" t="s">
        <v>20</v>
      </c>
      <c r="H130" t="s">
        <v>25</v>
      </c>
    </row>
    <row r="131" spans="1:8" x14ac:dyDescent="0.3">
      <c r="A131" t="s">
        <v>154</v>
      </c>
      <c r="B131" s="1">
        <v>45133</v>
      </c>
      <c r="C131" t="s">
        <v>18</v>
      </c>
      <c r="D131" t="s">
        <v>22</v>
      </c>
      <c r="E131" t="s">
        <v>11</v>
      </c>
      <c r="F131">
        <v>36</v>
      </c>
      <c r="G131" t="s">
        <v>20</v>
      </c>
      <c r="H131" t="s">
        <v>25</v>
      </c>
    </row>
    <row r="132" spans="1:8" x14ac:dyDescent="0.3">
      <c r="A132" t="s">
        <v>155</v>
      </c>
      <c r="B132" s="1">
        <v>44662</v>
      </c>
      <c r="C132" t="s">
        <v>32</v>
      </c>
      <c r="D132" t="s">
        <v>19</v>
      </c>
      <c r="E132" t="s">
        <v>11</v>
      </c>
      <c r="F132">
        <v>88</v>
      </c>
      <c r="G132" t="s">
        <v>20</v>
      </c>
      <c r="H132" t="s">
        <v>25</v>
      </c>
    </row>
    <row r="133" spans="1:8" x14ac:dyDescent="0.3">
      <c r="A133" t="s">
        <v>156</v>
      </c>
      <c r="B133" s="1">
        <v>44787</v>
      </c>
      <c r="C133" t="s">
        <v>18</v>
      </c>
      <c r="D133" t="s">
        <v>10</v>
      </c>
      <c r="E133" t="s">
        <v>11</v>
      </c>
      <c r="F133">
        <v>28</v>
      </c>
      <c r="G133" t="s">
        <v>12</v>
      </c>
      <c r="H133" t="s">
        <v>25</v>
      </c>
    </row>
    <row r="134" spans="1:8" x14ac:dyDescent="0.3">
      <c r="A134" t="s">
        <v>157</v>
      </c>
      <c r="B134" s="1">
        <v>44604</v>
      </c>
      <c r="C134" t="s">
        <v>18</v>
      </c>
      <c r="D134" t="s">
        <v>10</v>
      </c>
      <c r="E134" t="s">
        <v>30</v>
      </c>
      <c r="F134">
        <v>14</v>
      </c>
      <c r="G134" t="s">
        <v>20</v>
      </c>
      <c r="H134" t="s">
        <v>25</v>
      </c>
    </row>
    <row r="135" spans="1:8" x14ac:dyDescent="0.3">
      <c r="A135" t="s">
        <v>158</v>
      </c>
      <c r="B135" s="1">
        <v>45404</v>
      </c>
      <c r="C135" t="s">
        <v>32</v>
      </c>
      <c r="D135" t="s">
        <v>16</v>
      </c>
      <c r="E135" t="s">
        <v>30</v>
      </c>
      <c r="F135">
        <v>26</v>
      </c>
      <c r="G135" t="s">
        <v>20</v>
      </c>
      <c r="H135" t="s">
        <v>25</v>
      </c>
    </row>
    <row r="136" spans="1:8" x14ac:dyDescent="0.3">
      <c r="A136" t="s">
        <v>159</v>
      </c>
      <c r="B136" s="1">
        <v>45044</v>
      </c>
      <c r="C136" t="s">
        <v>18</v>
      </c>
      <c r="D136" t="s">
        <v>16</v>
      </c>
      <c r="E136" t="s">
        <v>30</v>
      </c>
      <c r="F136">
        <v>60</v>
      </c>
      <c r="G136" t="s">
        <v>20</v>
      </c>
      <c r="H136" t="s">
        <v>28</v>
      </c>
    </row>
    <row r="137" spans="1:8" x14ac:dyDescent="0.3">
      <c r="A137" t="s">
        <v>160</v>
      </c>
      <c r="B137" s="1">
        <v>45113</v>
      </c>
      <c r="C137" t="s">
        <v>32</v>
      </c>
      <c r="D137" t="s">
        <v>24</v>
      </c>
      <c r="E137" t="s">
        <v>30</v>
      </c>
      <c r="F137">
        <v>58</v>
      </c>
      <c r="G137" t="s">
        <v>12</v>
      </c>
      <c r="H137" t="s">
        <v>28</v>
      </c>
    </row>
    <row r="138" spans="1:8" x14ac:dyDescent="0.3">
      <c r="A138" t="s">
        <v>161</v>
      </c>
      <c r="B138" s="1">
        <v>45144</v>
      </c>
      <c r="C138" t="s">
        <v>32</v>
      </c>
      <c r="D138" t="s">
        <v>10</v>
      </c>
      <c r="E138" t="s">
        <v>11</v>
      </c>
      <c r="F138">
        <v>56</v>
      </c>
      <c r="G138" t="s">
        <v>20</v>
      </c>
      <c r="H138" t="s">
        <v>13</v>
      </c>
    </row>
    <row r="139" spans="1:8" x14ac:dyDescent="0.3">
      <c r="A139" t="s">
        <v>162</v>
      </c>
      <c r="B139" s="1">
        <v>44790</v>
      </c>
      <c r="C139" t="s">
        <v>32</v>
      </c>
      <c r="D139" t="s">
        <v>10</v>
      </c>
      <c r="E139" t="s">
        <v>11</v>
      </c>
      <c r="F139">
        <v>77</v>
      </c>
      <c r="G139" t="s">
        <v>20</v>
      </c>
      <c r="H139" t="s">
        <v>13</v>
      </c>
    </row>
    <row r="140" spans="1:8" x14ac:dyDescent="0.3">
      <c r="A140" t="s">
        <v>163</v>
      </c>
      <c r="B140" s="1">
        <v>45144</v>
      </c>
      <c r="C140" t="s">
        <v>32</v>
      </c>
      <c r="D140" t="s">
        <v>19</v>
      </c>
      <c r="E140" t="s">
        <v>30</v>
      </c>
      <c r="F140">
        <v>27</v>
      </c>
      <c r="G140" t="s">
        <v>20</v>
      </c>
      <c r="H140" t="s">
        <v>25</v>
      </c>
    </row>
    <row r="141" spans="1:8" x14ac:dyDescent="0.3">
      <c r="A141" t="s">
        <v>164</v>
      </c>
      <c r="B141" s="1">
        <v>45330</v>
      </c>
      <c r="C141" t="s">
        <v>27</v>
      </c>
      <c r="D141" t="s">
        <v>24</v>
      </c>
      <c r="E141" t="s">
        <v>30</v>
      </c>
      <c r="F141">
        <v>13</v>
      </c>
      <c r="G141" t="s">
        <v>12</v>
      </c>
      <c r="H141" t="s">
        <v>25</v>
      </c>
    </row>
    <row r="142" spans="1:8" x14ac:dyDescent="0.3">
      <c r="A142" t="s">
        <v>165</v>
      </c>
      <c r="B142" s="1">
        <v>44826</v>
      </c>
      <c r="C142" t="s">
        <v>18</v>
      </c>
      <c r="D142" t="s">
        <v>10</v>
      </c>
      <c r="E142" t="s">
        <v>30</v>
      </c>
      <c r="F142">
        <v>53</v>
      </c>
      <c r="G142" t="s">
        <v>12</v>
      </c>
      <c r="H142" t="s">
        <v>28</v>
      </c>
    </row>
    <row r="143" spans="1:8" x14ac:dyDescent="0.3">
      <c r="A143" t="s">
        <v>166</v>
      </c>
      <c r="B143" s="1">
        <v>45037</v>
      </c>
      <c r="C143" t="s">
        <v>18</v>
      </c>
      <c r="D143" t="s">
        <v>19</v>
      </c>
      <c r="E143" t="s">
        <v>11</v>
      </c>
      <c r="F143">
        <v>89</v>
      </c>
      <c r="G143" t="s">
        <v>20</v>
      </c>
      <c r="H143" t="s">
        <v>13</v>
      </c>
    </row>
    <row r="144" spans="1:8" x14ac:dyDescent="0.3">
      <c r="A144" t="s">
        <v>167</v>
      </c>
      <c r="B144" s="1">
        <v>44790</v>
      </c>
      <c r="C144" t="s">
        <v>32</v>
      </c>
      <c r="D144" t="s">
        <v>16</v>
      </c>
      <c r="E144" t="s">
        <v>30</v>
      </c>
      <c r="F144">
        <v>54</v>
      </c>
      <c r="G144" t="s">
        <v>12</v>
      </c>
      <c r="H144" t="s">
        <v>28</v>
      </c>
    </row>
    <row r="145" spans="1:8" x14ac:dyDescent="0.3">
      <c r="A145" t="s">
        <v>168</v>
      </c>
      <c r="B145" s="1">
        <v>44722</v>
      </c>
      <c r="C145" t="s">
        <v>18</v>
      </c>
      <c r="D145" t="s">
        <v>24</v>
      </c>
      <c r="E145" t="s">
        <v>30</v>
      </c>
      <c r="F145">
        <v>44</v>
      </c>
      <c r="G145" t="s">
        <v>12</v>
      </c>
      <c r="H145" t="s">
        <v>28</v>
      </c>
    </row>
    <row r="146" spans="1:8" x14ac:dyDescent="0.3">
      <c r="A146" t="s">
        <v>169</v>
      </c>
      <c r="B146" s="1">
        <v>44878</v>
      </c>
      <c r="C146" t="s">
        <v>9</v>
      </c>
      <c r="D146" t="s">
        <v>22</v>
      </c>
      <c r="E146" t="s">
        <v>11</v>
      </c>
      <c r="F146">
        <v>13</v>
      </c>
      <c r="G146" t="s">
        <v>20</v>
      </c>
      <c r="H146" t="s">
        <v>25</v>
      </c>
    </row>
    <row r="147" spans="1:8" x14ac:dyDescent="0.3">
      <c r="A147" t="s">
        <v>170</v>
      </c>
      <c r="B147" s="1">
        <v>45073</v>
      </c>
      <c r="C147" t="s">
        <v>18</v>
      </c>
      <c r="D147" t="s">
        <v>24</v>
      </c>
      <c r="E147" t="s">
        <v>11</v>
      </c>
      <c r="F147">
        <v>28</v>
      </c>
      <c r="G147" t="s">
        <v>12</v>
      </c>
      <c r="H147" t="s">
        <v>13</v>
      </c>
    </row>
    <row r="148" spans="1:8" x14ac:dyDescent="0.3">
      <c r="A148" t="s">
        <v>171</v>
      </c>
      <c r="B148" s="1">
        <v>44737</v>
      </c>
      <c r="C148" t="s">
        <v>9</v>
      </c>
      <c r="D148" t="s">
        <v>24</v>
      </c>
      <c r="E148" t="s">
        <v>30</v>
      </c>
      <c r="F148">
        <v>72</v>
      </c>
      <c r="G148" t="s">
        <v>12</v>
      </c>
      <c r="H148" t="s">
        <v>25</v>
      </c>
    </row>
    <row r="149" spans="1:8" x14ac:dyDescent="0.3">
      <c r="A149" t="s">
        <v>172</v>
      </c>
      <c r="B149" s="1">
        <v>45316</v>
      </c>
      <c r="C149" t="s">
        <v>9</v>
      </c>
      <c r="D149" t="s">
        <v>16</v>
      </c>
      <c r="E149" t="s">
        <v>11</v>
      </c>
      <c r="F149">
        <v>50</v>
      </c>
      <c r="G149" t="s">
        <v>12</v>
      </c>
      <c r="H149" t="s">
        <v>13</v>
      </c>
    </row>
    <row r="150" spans="1:8" x14ac:dyDescent="0.3">
      <c r="A150" t="s">
        <v>173</v>
      </c>
      <c r="B150" s="1">
        <v>44864</v>
      </c>
      <c r="C150" t="s">
        <v>32</v>
      </c>
      <c r="D150" t="s">
        <v>16</v>
      </c>
      <c r="E150" t="s">
        <v>11</v>
      </c>
      <c r="F150">
        <v>23</v>
      </c>
      <c r="G150" t="s">
        <v>20</v>
      </c>
      <c r="H150" t="s">
        <v>25</v>
      </c>
    </row>
    <row r="151" spans="1:8" x14ac:dyDescent="0.3">
      <c r="A151" t="s">
        <v>174</v>
      </c>
      <c r="B151" s="1">
        <v>45168</v>
      </c>
      <c r="C151" t="s">
        <v>18</v>
      </c>
      <c r="D151" t="s">
        <v>19</v>
      </c>
      <c r="E151" t="s">
        <v>11</v>
      </c>
      <c r="F151">
        <v>44</v>
      </c>
      <c r="G151" t="s">
        <v>12</v>
      </c>
      <c r="H151" t="s">
        <v>28</v>
      </c>
    </row>
    <row r="152" spans="1:8" x14ac:dyDescent="0.3">
      <c r="A152" t="s">
        <v>175</v>
      </c>
      <c r="B152" s="1">
        <v>45307</v>
      </c>
      <c r="C152" t="s">
        <v>27</v>
      </c>
      <c r="D152" t="s">
        <v>16</v>
      </c>
      <c r="E152" t="s">
        <v>11</v>
      </c>
      <c r="F152">
        <v>1</v>
      </c>
      <c r="G152" t="s">
        <v>12</v>
      </c>
      <c r="H152" t="s">
        <v>25</v>
      </c>
    </row>
    <row r="153" spans="1:8" x14ac:dyDescent="0.3">
      <c r="A153" t="s">
        <v>176</v>
      </c>
      <c r="B153" s="1">
        <v>44697</v>
      </c>
      <c r="C153" t="s">
        <v>9</v>
      </c>
      <c r="D153" t="s">
        <v>19</v>
      </c>
      <c r="E153" t="s">
        <v>30</v>
      </c>
      <c r="F153">
        <v>23</v>
      </c>
      <c r="G153" t="s">
        <v>20</v>
      </c>
      <c r="H153" t="s">
        <v>25</v>
      </c>
    </row>
    <row r="154" spans="1:8" x14ac:dyDescent="0.3">
      <c r="A154" t="s">
        <v>177</v>
      </c>
      <c r="B154" s="1">
        <v>45093</v>
      </c>
      <c r="C154" t="s">
        <v>15</v>
      </c>
      <c r="D154" t="s">
        <v>22</v>
      </c>
      <c r="E154" t="s">
        <v>30</v>
      </c>
      <c r="F154">
        <v>61</v>
      </c>
      <c r="G154" t="s">
        <v>12</v>
      </c>
      <c r="H154" t="s">
        <v>28</v>
      </c>
    </row>
    <row r="155" spans="1:8" x14ac:dyDescent="0.3">
      <c r="A155" t="s">
        <v>178</v>
      </c>
      <c r="B155" s="1">
        <v>45308</v>
      </c>
      <c r="C155" t="s">
        <v>9</v>
      </c>
      <c r="D155" t="s">
        <v>10</v>
      </c>
      <c r="E155" t="s">
        <v>11</v>
      </c>
      <c r="F155">
        <v>41</v>
      </c>
      <c r="G155" t="s">
        <v>12</v>
      </c>
      <c r="H155" t="s">
        <v>28</v>
      </c>
    </row>
    <row r="156" spans="1:8" x14ac:dyDescent="0.3">
      <c r="A156" t="s">
        <v>179</v>
      </c>
      <c r="B156" s="1">
        <v>45262</v>
      </c>
      <c r="C156" t="s">
        <v>18</v>
      </c>
      <c r="D156" t="s">
        <v>19</v>
      </c>
      <c r="E156" t="s">
        <v>30</v>
      </c>
      <c r="F156">
        <v>29</v>
      </c>
      <c r="G156" t="s">
        <v>12</v>
      </c>
      <c r="H156" t="s">
        <v>28</v>
      </c>
    </row>
    <row r="157" spans="1:8" x14ac:dyDescent="0.3">
      <c r="A157" t="s">
        <v>180</v>
      </c>
      <c r="B157" s="1">
        <v>45198</v>
      </c>
      <c r="C157" t="s">
        <v>15</v>
      </c>
      <c r="D157" t="s">
        <v>22</v>
      </c>
      <c r="E157" t="s">
        <v>30</v>
      </c>
      <c r="F157">
        <v>85</v>
      </c>
      <c r="G157" t="s">
        <v>12</v>
      </c>
      <c r="H157" t="s">
        <v>25</v>
      </c>
    </row>
    <row r="158" spans="1:8" x14ac:dyDescent="0.3">
      <c r="A158" t="s">
        <v>181</v>
      </c>
      <c r="B158" s="1">
        <v>44925</v>
      </c>
      <c r="C158" t="s">
        <v>32</v>
      </c>
      <c r="D158" t="s">
        <v>10</v>
      </c>
      <c r="E158" t="s">
        <v>30</v>
      </c>
      <c r="F158">
        <v>30</v>
      </c>
      <c r="G158" t="s">
        <v>20</v>
      </c>
      <c r="H158" t="s">
        <v>28</v>
      </c>
    </row>
    <row r="159" spans="1:8" x14ac:dyDescent="0.3">
      <c r="A159" t="s">
        <v>182</v>
      </c>
      <c r="B159" s="1">
        <v>44642</v>
      </c>
      <c r="C159" t="s">
        <v>27</v>
      </c>
      <c r="D159" t="s">
        <v>22</v>
      </c>
      <c r="E159" t="s">
        <v>30</v>
      </c>
      <c r="F159">
        <v>3</v>
      </c>
      <c r="G159" t="s">
        <v>20</v>
      </c>
      <c r="H159" t="s">
        <v>28</v>
      </c>
    </row>
    <row r="160" spans="1:8" x14ac:dyDescent="0.3">
      <c r="A160" t="s">
        <v>183</v>
      </c>
      <c r="B160" s="1">
        <v>44579</v>
      </c>
      <c r="C160" t="s">
        <v>15</v>
      </c>
      <c r="D160" t="s">
        <v>16</v>
      </c>
      <c r="E160" t="s">
        <v>30</v>
      </c>
      <c r="F160">
        <v>13</v>
      </c>
      <c r="G160" t="s">
        <v>12</v>
      </c>
      <c r="H160" t="s">
        <v>13</v>
      </c>
    </row>
    <row r="161" spans="1:8" x14ac:dyDescent="0.3">
      <c r="A161" t="s">
        <v>184</v>
      </c>
      <c r="B161" s="1">
        <v>45461</v>
      </c>
      <c r="C161" t="s">
        <v>15</v>
      </c>
      <c r="D161" t="s">
        <v>22</v>
      </c>
      <c r="E161" t="s">
        <v>30</v>
      </c>
      <c r="F161">
        <v>51</v>
      </c>
      <c r="G161" t="s">
        <v>12</v>
      </c>
      <c r="H161" t="s">
        <v>25</v>
      </c>
    </row>
    <row r="162" spans="1:8" x14ac:dyDescent="0.3">
      <c r="A162" t="s">
        <v>185</v>
      </c>
      <c r="B162" s="1">
        <v>45413</v>
      </c>
      <c r="C162" t="s">
        <v>18</v>
      </c>
      <c r="D162" t="s">
        <v>16</v>
      </c>
      <c r="E162" t="s">
        <v>30</v>
      </c>
      <c r="F162">
        <v>28</v>
      </c>
      <c r="G162" t="s">
        <v>12</v>
      </c>
      <c r="H162" t="s">
        <v>25</v>
      </c>
    </row>
    <row r="163" spans="1:8" x14ac:dyDescent="0.3">
      <c r="A163" t="s">
        <v>186</v>
      </c>
      <c r="B163" s="1">
        <v>45004</v>
      </c>
      <c r="C163" t="s">
        <v>15</v>
      </c>
      <c r="D163" t="s">
        <v>24</v>
      </c>
      <c r="E163" t="s">
        <v>30</v>
      </c>
      <c r="F163">
        <v>50</v>
      </c>
      <c r="G163" t="s">
        <v>12</v>
      </c>
      <c r="H163" t="s">
        <v>13</v>
      </c>
    </row>
    <row r="164" spans="1:8" x14ac:dyDescent="0.3">
      <c r="A164" t="s">
        <v>187</v>
      </c>
      <c r="B164" s="1">
        <v>45042</v>
      </c>
      <c r="C164" t="s">
        <v>32</v>
      </c>
      <c r="D164" t="s">
        <v>22</v>
      </c>
      <c r="E164" t="s">
        <v>11</v>
      </c>
      <c r="F164">
        <v>18</v>
      </c>
      <c r="G164" t="s">
        <v>12</v>
      </c>
      <c r="H164" t="s">
        <v>28</v>
      </c>
    </row>
    <row r="165" spans="1:8" x14ac:dyDescent="0.3">
      <c r="A165" t="s">
        <v>188</v>
      </c>
      <c r="B165" s="1">
        <v>45219</v>
      </c>
      <c r="C165" t="s">
        <v>15</v>
      </c>
      <c r="D165" t="s">
        <v>19</v>
      </c>
      <c r="E165" t="s">
        <v>11</v>
      </c>
      <c r="F165">
        <v>51</v>
      </c>
      <c r="G165" t="s">
        <v>12</v>
      </c>
      <c r="H165" t="s">
        <v>25</v>
      </c>
    </row>
    <row r="166" spans="1:8" x14ac:dyDescent="0.3">
      <c r="A166" t="s">
        <v>189</v>
      </c>
      <c r="B166" s="1">
        <v>45331</v>
      </c>
      <c r="C166" t="s">
        <v>32</v>
      </c>
      <c r="D166" t="s">
        <v>22</v>
      </c>
      <c r="E166" t="s">
        <v>11</v>
      </c>
      <c r="F166">
        <v>45</v>
      </c>
      <c r="G166" t="s">
        <v>20</v>
      </c>
      <c r="H166" t="s">
        <v>25</v>
      </c>
    </row>
    <row r="167" spans="1:8" x14ac:dyDescent="0.3">
      <c r="A167" t="s">
        <v>190</v>
      </c>
      <c r="B167" s="1">
        <v>44704</v>
      </c>
      <c r="C167" t="s">
        <v>27</v>
      </c>
      <c r="D167" t="s">
        <v>10</v>
      </c>
      <c r="E167" t="s">
        <v>11</v>
      </c>
      <c r="F167">
        <v>58</v>
      </c>
      <c r="G167" t="s">
        <v>20</v>
      </c>
      <c r="H167" t="s">
        <v>28</v>
      </c>
    </row>
    <row r="168" spans="1:8" x14ac:dyDescent="0.3">
      <c r="A168" t="s">
        <v>191</v>
      </c>
      <c r="B168" s="1">
        <v>45293</v>
      </c>
      <c r="C168" t="s">
        <v>32</v>
      </c>
      <c r="D168" t="s">
        <v>24</v>
      </c>
      <c r="E168" t="s">
        <v>11</v>
      </c>
      <c r="F168">
        <v>33</v>
      </c>
      <c r="G168" t="s">
        <v>20</v>
      </c>
      <c r="H168" t="s">
        <v>25</v>
      </c>
    </row>
    <row r="169" spans="1:8" x14ac:dyDescent="0.3">
      <c r="A169" t="s">
        <v>192</v>
      </c>
      <c r="B169" s="1">
        <v>45316</v>
      </c>
      <c r="C169" t="s">
        <v>27</v>
      </c>
      <c r="D169" t="s">
        <v>19</v>
      </c>
      <c r="E169" t="s">
        <v>11</v>
      </c>
      <c r="F169">
        <v>46</v>
      </c>
      <c r="G169" t="s">
        <v>12</v>
      </c>
      <c r="H169" t="s">
        <v>13</v>
      </c>
    </row>
    <row r="170" spans="1:8" x14ac:dyDescent="0.3">
      <c r="A170" t="s">
        <v>193</v>
      </c>
      <c r="B170" s="1">
        <v>44953</v>
      </c>
      <c r="C170" t="s">
        <v>32</v>
      </c>
      <c r="D170" t="s">
        <v>10</v>
      </c>
      <c r="E170" t="s">
        <v>11</v>
      </c>
      <c r="F170">
        <v>26</v>
      </c>
      <c r="G170" t="s">
        <v>20</v>
      </c>
      <c r="H170" t="s">
        <v>13</v>
      </c>
    </row>
    <row r="171" spans="1:8" x14ac:dyDescent="0.3">
      <c r="A171" t="s">
        <v>194</v>
      </c>
      <c r="B171" s="1">
        <v>44671</v>
      </c>
      <c r="C171" t="s">
        <v>27</v>
      </c>
      <c r="D171" t="s">
        <v>10</v>
      </c>
      <c r="E171" t="s">
        <v>30</v>
      </c>
      <c r="F171">
        <v>74</v>
      </c>
      <c r="G171" t="s">
        <v>20</v>
      </c>
      <c r="H171" t="s">
        <v>25</v>
      </c>
    </row>
    <row r="172" spans="1:8" x14ac:dyDescent="0.3">
      <c r="A172" t="s">
        <v>195</v>
      </c>
      <c r="B172" s="1">
        <v>44899</v>
      </c>
      <c r="C172" t="s">
        <v>15</v>
      </c>
      <c r="D172" t="s">
        <v>24</v>
      </c>
      <c r="E172" t="s">
        <v>30</v>
      </c>
      <c r="F172">
        <v>41</v>
      </c>
      <c r="G172" t="s">
        <v>20</v>
      </c>
      <c r="H172" t="s">
        <v>28</v>
      </c>
    </row>
    <row r="173" spans="1:8" x14ac:dyDescent="0.3">
      <c r="A173" t="s">
        <v>196</v>
      </c>
      <c r="B173" s="1">
        <v>44661</v>
      </c>
      <c r="C173" t="s">
        <v>18</v>
      </c>
      <c r="D173" t="s">
        <v>24</v>
      </c>
      <c r="E173" t="s">
        <v>11</v>
      </c>
      <c r="F173">
        <v>52</v>
      </c>
      <c r="G173" t="s">
        <v>12</v>
      </c>
      <c r="H173" t="s">
        <v>28</v>
      </c>
    </row>
    <row r="174" spans="1:8" x14ac:dyDescent="0.3">
      <c r="A174" t="s">
        <v>197</v>
      </c>
      <c r="B174" s="1">
        <v>44739</v>
      </c>
      <c r="C174" t="s">
        <v>27</v>
      </c>
      <c r="D174" t="s">
        <v>10</v>
      </c>
      <c r="E174" t="s">
        <v>11</v>
      </c>
      <c r="F174">
        <v>19</v>
      </c>
      <c r="G174" t="s">
        <v>20</v>
      </c>
      <c r="H174" t="s">
        <v>28</v>
      </c>
    </row>
    <row r="175" spans="1:8" x14ac:dyDescent="0.3">
      <c r="A175" t="s">
        <v>198</v>
      </c>
      <c r="B175" s="1">
        <v>44819</v>
      </c>
      <c r="C175" t="s">
        <v>15</v>
      </c>
      <c r="D175" t="s">
        <v>10</v>
      </c>
      <c r="E175" t="s">
        <v>30</v>
      </c>
      <c r="F175">
        <v>63</v>
      </c>
      <c r="G175" t="s">
        <v>20</v>
      </c>
      <c r="H175" t="s">
        <v>28</v>
      </c>
    </row>
    <row r="176" spans="1:8" x14ac:dyDescent="0.3">
      <c r="A176" t="s">
        <v>199</v>
      </c>
      <c r="B176" s="1">
        <v>44678</v>
      </c>
      <c r="C176" t="s">
        <v>18</v>
      </c>
      <c r="D176" t="s">
        <v>10</v>
      </c>
      <c r="E176" t="s">
        <v>30</v>
      </c>
      <c r="F176">
        <v>29</v>
      </c>
      <c r="G176" t="s">
        <v>12</v>
      </c>
      <c r="H176" t="s">
        <v>25</v>
      </c>
    </row>
    <row r="177" spans="1:8" x14ac:dyDescent="0.3">
      <c r="A177" t="s">
        <v>200</v>
      </c>
      <c r="B177" s="1">
        <v>44840</v>
      </c>
      <c r="C177" t="s">
        <v>9</v>
      </c>
      <c r="D177" t="s">
        <v>19</v>
      </c>
      <c r="E177" t="s">
        <v>11</v>
      </c>
      <c r="F177">
        <v>88</v>
      </c>
      <c r="G177" t="s">
        <v>12</v>
      </c>
      <c r="H177" t="s">
        <v>13</v>
      </c>
    </row>
    <row r="178" spans="1:8" x14ac:dyDescent="0.3">
      <c r="A178" t="s">
        <v>201</v>
      </c>
      <c r="B178" s="1">
        <v>45068</v>
      </c>
      <c r="C178" t="s">
        <v>32</v>
      </c>
      <c r="D178" t="s">
        <v>22</v>
      </c>
      <c r="E178" t="s">
        <v>30</v>
      </c>
      <c r="F178">
        <v>26</v>
      </c>
      <c r="G178" t="s">
        <v>12</v>
      </c>
      <c r="H178" t="s">
        <v>13</v>
      </c>
    </row>
    <row r="179" spans="1:8" x14ac:dyDescent="0.3">
      <c r="A179" t="s">
        <v>202</v>
      </c>
      <c r="B179" s="1">
        <v>45323</v>
      </c>
      <c r="C179" t="s">
        <v>27</v>
      </c>
      <c r="D179" t="s">
        <v>10</v>
      </c>
      <c r="E179" t="s">
        <v>11</v>
      </c>
      <c r="F179">
        <v>15</v>
      </c>
      <c r="G179" t="s">
        <v>20</v>
      </c>
      <c r="H179" t="s">
        <v>13</v>
      </c>
    </row>
    <row r="180" spans="1:8" x14ac:dyDescent="0.3">
      <c r="A180" t="s">
        <v>203</v>
      </c>
      <c r="B180" s="1">
        <v>45249</v>
      </c>
      <c r="C180" t="s">
        <v>18</v>
      </c>
      <c r="D180" t="s">
        <v>16</v>
      </c>
      <c r="E180" t="s">
        <v>11</v>
      </c>
      <c r="F180">
        <v>62</v>
      </c>
      <c r="G180" t="s">
        <v>12</v>
      </c>
      <c r="H180" t="s">
        <v>13</v>
      </c>
    </row>
    <row r="181" spans="1:8" x14ac:dyDescent="0.3">
      <c r="A181" t="s">
        <v>204</v>
      </c>
      <c r="B181" s="1">
        <v>44921</v>
      </c>
      <c r="C181" t="s">
        <v>32</v>
      </c>
      <c r="D181" t="s">
        <v>19</v>
      </c>
      <c r="E181" t="s">
        <v>30</v>
      </c>
      <c r="F181">
        <v>22</v>
      </c>
      <c r="G181" t="s">
        <v>20</v>
      </c>
      <c r="H181" t="s">
        <v>28</v>
      </c>
    </row>
    <row r="182" spans="1:8" x14ac:dyDescent="0.3">
      <c r="A182" t="s">
        <v>205</v>
      </c>
      <c r="B182" s="1">
        <v>45197</v>
      </c>
      <c r="C182" t="s">
        <v>15</v>
      </c>
      <c r="D182" t="s">
        <v>22</v>
      </c>
      <c r="E182" t="s">
        <v>11</v>
      </c>
      <c r="F182">
        <v>2</v>
      </c>
      <c r="G182" t="s">
        <v>20</v>
      </c>
      <c r="H182" t="s">
        <v>25</v>
      </c>
    </row>
    <row r="183" spans="1:8" x14ac:dyDescent="0.3">
      <c r="A183" t="s">
        <v>206</v>
      </c>
      <c r="B183" s="1">
        <v>45313</v>
      </c>
      <c r="C183" t="s">
        <v>15</v>
      </c>
      <c r="D183" t="s">
        <v>10</v>
      </c>
      <c r="E183" t="s">
        <v>30</v>
      </c>
      <c r="F183">
        <v>6</v>
      </c>
      <c r="G183" t="s">
        <v>20</v>
      </c>
      <c r="H183" t="s">
        <v>28</v>
      </c>
    </row>
    <row r="184" spans="1:8" x14ac:dyDescent="0.3">
      <c r="A184" t="s">
        <v>207</v>
      </c>
      <c r="B184" s="1">
        <v>45220</v>
      </c>
      <c r="C184" t="s">
        <v>27</v>
      </c>
      <c r="D184" t="s">
        <v>16</v>
      </c>
      <c r="E184" t="s">
        <v>30</v>
      </c>
      <c r="F184">
        <v>14</v>
      </c>
      <c r="G184" t="s">
        <v>20</v>
      </c>
      <c r="H184" t="s">
        <v>13</v>
      </c>
    </row>
    <row r="185" spans="1:8" x14ac:dyDescent="0.3">
      <c r="A185" t="s">
        <v>208</v>
      </c>
      <c r="B185" s="1">
        <v>45305</v>
      </c>
      <c r="C185" t="s">
        <v>15</v>
      </c>
      <c r="D185" t="s">
        <v>10</v>
      </c>
      <c r="E185" t="s">
        <v>11</v>
      </c>
      <c r="F185">
        <v>87</v>
      </c>
      <c r="G185" t="s">
        <v>12</v>
      </c>
      <c r="H185" t="s">
        <v>28</v>
      </c>
    </row>
    <row r="186" spans="1:8" x14ac:dyDescent="0.3">
      <c r="A186" t="s">
        <v>209</v>
      </c>
      <c r="B186" s="1">
        <v>45258</v>
      </c>
      <c r="C186" t="s">
        <v>18</v>
      </c>
      <c r="D186" t="s">
        <v>24</v>
      </c>
      <c r="E186" t="s">
        <v>11</v>
      </c>
      <c r="F186">
        <v>62</v>
      </c>
      <c r="G186" t="s">
        <v>12</v>
      </c>
      <c r="H186" t="s">
        <v>28</v>
      </c>
    </row>
    <row r="187" spans="1:8" x14ac:dyDescent="0.3">
      <c r="A187" t="s">
        <v>210</v>
      </c>
      <c r="B187" s="1">
        <v>44833</v>
      </c>
      <c r="C187" t="s">
        <v>27</v>
      </c>
      <c r="D187" t="s">
        <v>19</v>
      </c>
      <c r="E187" t="s">
        <v>30</v>
      </c>
      <c r="F187">
        <v>40</v>
      </c>
      <c r="G187" t="s">
        <v>12</v>
      </c>
      <c r="H187" t="s">
        <v>28</v>
      </c>
    </row>
    <row r="188" spans="1:8" x14ac:dyDescent="0.3">
      <c r="A188" t="s">
        <v>211</v>
      </c>
      <c r="B188" s="1">
        <v>44626</v>
      </c>
      <c r="C188" t="s">
        <v>9</v>
      </c>
      <c r="D188" t="s">
        <v>19</v>
      </c>
      <c r="E188" t="s">
        <v>11</v>
      </c>
      <c r="F188">
        <v>10</v>
      </c>
      <c r="G188" t="s">
        <v>12</v>
      </c>
      <c r="H188" t="s">
        <v>28</v>
      </c>
    </row>
    <row r="189" spans="1:8" x14ac:dyDescent="0.3">
      <c r="A189" t="s">
        <v>212</v>
      </c>
      <c r="B189" s="1">
        <v>44651</v>
      </c>
      <c r="C189" t="s">
        <v>18</v>
      </c>
      <c r="D189" t="s">
        <v>19</v>
      </c>
      <c r="E189" t="s">
        <v>30</v>
      </c>
      <c r="F189">
        <v>85</v>
      </c>
      <c r="G189" t="s">
        <v>20</v>
      </c>
      <c r="H189" t="s">
        <v>25</v>
      </c>
    </row>
    <row r="190" spans="1:8" x14ac:dyDescent="0.3">
      <c r="A190" t="s">
        <v>213</v>
      </c>
      <c r="B190" s="1">
        <v>44610</v>
      </c>
      <c r="C190" t="s">
        <v>9</v>
      </c>
      <c r="D190" t="s">
        <v>22</v>
      </c>
      <c r="E190" t="s">
        <v>30</v>
      </c>
      <c r="F190">
        <v>27</v>
      </c>
      <c r="G190" t="s">
        <v>20</v>
      </c>
      <c r="H190" t="s">
        <v>13</v>
      </c>
    </row>
    <row r="191" spans="1:8" x14ac:dyDescent="0.3">
      <c r="A191" t="s">
        <v>214</v>
      </c>
      <c r="B191" s="1">
        <v>44925</v>
      </c>
      <c r="C191" t="s">
        <v>27</v>
      </c>
      <c r="D191" t="s">
        <v>24</v>
      </c>
      <c r="E191" t="s">
        <v>11</v>
      </c>
      <c r="F191">
        <v>35</v>
      </c>
      <c r="G191" t="s">
        <v>20</v>
      </c>
      <c r="H191" t="s">
        <v>13</v>
      </c>
    </row>
    <row r="192" spans="1:8" x14ac:dyDescent="0.3">
      <c r="A192" t="s">
        <v>215</v>
      </c>
      <c r="B192" s="1">
        <v>45105</v>
      </c>
      <c r="C192" t="s">
        <v>32</v>
      </c>
      <c r="D192" t="s">
        <v>19</v>
      </c>
      <c r="E192" t="s">
        <v>30</v>
      </c>
      <c r="F192">
        <v>58</v>
      </c>
      <c r="G192" t="s">
        <v>20</v>
      </c>
      <c r="H192" t="s">
        <v>25</v>
      </c>
    </row>
    <row r="193" spans="1:8" x14ac:dyDescent="0.3">
      <c r="A193" t="s">
        <v>216</v>
      </c>
      <c r="B193" s="1">
        <v>45207</v>
      </c>
      <c r="C193" t="s">
        <v>32</v>
      </c>
      <c r="D193" t="s">
        <v>16</v>
      </c>
      <c r="E193" t="s">
        <v>30</v>
      </c>
      <c r="F193">
        <v>53</v>
      </c>
      <c r="G193" t="s">
        <v>12</v>
      </c>
      <c r="H193" t="s">
        <v>25</v>
      </c>
    </row>
    <row r="194" spans="1:8" x14ac:dyDescent="0.3">
      <c r="A194" t="s">
        <v>217</v>
      </c>
      <c r="B194" s="1">
        <v>44923</v>
      </c>
      <c r="C194" t="s">
        <v>32</v>
      </c>
      <c r="D194" t="s">
        <v>10</v>
      </c>
      <c r="E194" t="s">
        <v>11</v>
      </c>
      <c r="F194">
        <v>7</v>
      </c>
      <c r="G194" t="s">
        <v>12</v>
      </c>
      <c r="H194" t="s">
        <v>13</v>
      </c>
    </row>
    <row r="195" spans="1:8" x14ac:dyDescent="0.3">
      <c r="A195" t="s">
        <v>218</v>
      </c>
      <c r="B195" s="1">
        <v>45453</v>
      </c>
      <c r="C195" t="s">
        <v>9</v>
      </c>
      <c r="D195" t="s">
        <v>16</v>
      </c>
      <c r="E195" t="s">
        <v>30</v>
      </c>
      <c r="F195">
        <v>80</v>
      </c>
      <c r="G195" t="s">
        <v>12</v>
      </c>
      <c r="H195" t="s">
        <v>28</v>
      </c>
    </row>
    <row r="196" spans="1:8" x14ac:dyDescent="0.3">
      <c r="A196" t="s">
        <v>219</v>
      </c>
      <c r="B196" s="1">
        <v>44564</v>
      </c>
      <c r="C196" t="s">
        <v>18</v>
      </c>
      <c r="D196" t="s">
        <v>10</v>
      </c>
      <c r="E196" t="s">
        <v>30</v>
      </c>
      <c r="F196">
        <v>61</v>
      </c>
      <c r="G196" t="s">
        <v>12</v>
      </c>
      <c r="H196" t="s">
        <v>28</v>
      </c>
    </row>
    <row r="197" spans="1:8" x14ac:dyDescent="0.3">
      <c r="A197" t="s">
        <v>220</v>
      </c>
      <c r="B197" s="1">
        <v>45046</v>
      </c>
      <c r="C197" t="s">
        <v>18</v>
      </c>
      <c r="D197" t="s">
        <v>16</v>
      </c>
      <c r="E197" t="s">
        <v>11</v>
      </c>
      <c r="F197">
        <v>61</v>
      </c>
      <c r="G197" t="s">
        <v>12</v>
      </c>
      <c r="H197" t="s">
        <v>25</v>
      </c>
    </row>
    <row r="198" spans="1:8" x14ac:dyDescent="0.3">
      <c r="A198" t="s">
        <v>221</v>
      </c>
      <c r="B198" s="1">
        <v>44665</v>
      </c>
      <c r="C198" t="s">
        <v>15</v>
      </c>
      <c r="D198" t="s">
        <v>22</v>
      </c>
      <c r="E198" t="s">
        <v>11</v>
      </c>
      <c r="F198">
        <v>12</v>
      </c>
      <c r="G198" t="s">
        <v>12</v>
      </c>
      <c r="H198" t="s">
        <v>25</v>
      </c>
    </row>
    <row r="199" spans="1:8" x14ac:dyDescent="0.3">
      <c r="A199" t="s">
        <v>222</v>
      </c>
      <c r="B199" s="1">
        <v>45205</v>
      </c>
      <c r="C199" t="s">
        <v>32</v>
      </c>
      <c r="D199" t="s">
        <v>16</v>
      </c>
      <c r="E199" t="s">
        <v>30</v>
      </c>
      <c r="F199">
        <v>15</v>
      </c>
      <c r="G199" t="s">
        <v>20</v>
      </c>
      <c r="H199" t="s">
        <v>25</v>
      </c>
    </row>
    <row r="200" spans="1:8" x14ac:dyDescent="0.3">
      <c r="A200" t="s">
        <v>223</v>
      </c>
      <c r="B200" s="1">
        <v>44950</v>
      </c>
      <c r="C200" t="s">
        <v>32</v>
      </c>
      <c r="D200" t="s">
        <v>10</v>
      </c>
      <c r="E200" t="s">
        <v>11</v>
      </c>
      <c r="F200">
        <v>47</v>
      </c>
      <c r="G200" t="s">
        <v>20</v>
      </c>
      <c r="H200" t="s">
        <v>25</v>
      </c>
    </row>
    <row r="201" spans="1:8" x14ac:dyDescent="0.3">
      <c r="A201" t="s">
        <v>224</v>
      </c>
      <c r="B201" s="1">
        <v>44688</v>
      </c>
      <c r="C201" t="s">
        <v>32</v>
      </c>
      <c r="D201" t="s">
        <v>24</v>
      </c>
      <c r="E201" t="s">
        <v>30</v>
      </c>
      <c r="F201">
        <v>33</v>
      </c>
      <c r="G201" t="s">
        <v>12</v>
      </c>
      <c r="H201" t="s">
        <v>13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BD01F0-CC6C-4F32-A916-BD1170C528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Healthcare_Data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mhdadhil08@gmail.com</dc:creator>
  <cp:lastModifiedBy>mhdadhil08@gmail.com</cp:lastModifiedBy>
  <dcterms:created xsi:type="dcterms:W3CDTF">2026-04-17T14:57:23Z</dcterms:created>
  <dcterms:modified xsi:type="dcterms:W3CDTF">2026-04-29T07:57:05Z</dcterms:modified>
</cp:coreProperties>
</file>